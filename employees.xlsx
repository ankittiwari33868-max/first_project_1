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2A505AAA-03D1-42E7-B385-C18C8A493EAA}" xr6:coauthVersionLast="47" xr6:coauthVersionMax="47" xr10:uidLastSave="{00000000-0000-0000-0000-000000000000}"/>
  <bookViews>
    <workbookView xWindow="-120" yWindow="-120" windowWidth="20730" windowHeight="11160" activeTab="1" xr2:uid="{00000000-000D-0000-FFFF-FFFF00000000}"/>
  </bookViews>
  <sheets>
    <sheet name="Dashboard" sheetId="12" r:id="rId1"/>
    <sheet name="Sheet10" sheetId="11" r:id="rId2"/>
    <sheet name="Table1" sheetId="14" r:id="rId3"/>
    <sheet name="Sheet8 (2)" sheetId="13" r:id="rId4"/>
    <sheet name="Sheet8" sheetId="9" r:id="rId5"/>
  </sheets>
  <definedNames>
    <definedName name="ExternalData_1" localSheetId="2" hidden="1">Table1!$A$1:$J$11</definedName>
    <definedName name="Slicer_Category">#N/A</definedName>
    <definedName name="Slicer_Product">#N/A</definedName>
    <definedName name="Slicer_Region">#N/A</definedName>
    <definedName name="Slicer_Sales_Rep">#N/A</definedName>
    <definedName name="Slicer_Total_Sale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11" l="1"/>
  <c r="K6" i="11"/>
  <c r="K7" i="11"/>
  <c r="K4" i="11"/>
  <c r="Y2" i="11"/>
  <c r="S2" i="11"/>
  <c r="L2" i="11"/>
  <c r="E2" i="11"/>
  <c r="J1" i="11"/>
  <c r="E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D33243-0D8E-4E6E-BCD5-4DB2F66FD957}"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044478D4-179D-41B5-A14B-5B7426E2FE2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AC05BB27-EF4A-4B99-9730-F00F7D249D5E}" keepAlive="1" name="Query - Table1_2" description="Connection to the 'Table1_2' query in the workbook." type="5" refreshedVersion="0"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<sst xmlns="http://schemas.openxmlformats.org/spreadsheetml/2006/main" count="192" uniqueCount="35">
  <si>
    <t>Row Labels</t>
  </si>
  <si>
    <t>Grand Total</t>
  </si>
  <si>
    <t>Order_ID</t>
  </si>
  <si>
    <t>Order_Date</t>
  </si>
  <si>
    <t>Product</t>
  </si>
  <si>
    <t>Category</t>
  </si>
  <si>
    <t>Region</t>
  </si>
  <si>
    <t>Sales_Rep</t>
  </si>
  <si>
    <t>Units_Sold</t>
  </si>
  <si>
    <t>Unit_Price</t>
  </si>
  <si>
    <t>Total_Sales</t>
  </si>
  <si>
    <t>Laptop</t>
  </si>
  <si>
    <t>Electronics</t>
  </si>
  <si>
    <t>North</t>
  </si>
  <si>
    <t>Alex</t>
  </si>
  <si>
    <t>Mobile Phone</t>
  </si>
  <si>
    <t>South</t>
  </si>
  <si>
    <t>Sara</t>
  </si>
  <si>
    <t>Office Chair</t>
  </si>
  <si>
    <t>Furniture</t>
  </si>
  <si>
    <t>East</t>
  </si>
  <si>
    <t>John</t>
  </si>
  <si>
    <t>Table</t>
  </si>
  <si>
    <t>West</t>
  </si>
  <si>
    <t>Nina</t>
  </si>
  <si>
    <t>Headphones</t>
  </si>
  <si>
    <t>Accessories</t>
  </si>
  <si>
    <t>Monitor</t>
  </si>
  <si>
    <t>Keyboard</t>
  </si>
  <si>
    <t>Mouse</t>
  </si>
  <si>
    <t>Printer</t>
  </si>
  <si>
    <t>Sofa</t>
  </si>
  <si>
    <t>Sum of Total_Sales</t>
  </si>
  <si>
    <t>Sum of Total_Sales2</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</si>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</sst>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10" xfId="0" applyFont="1" applyBorder="1"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14" fontId="0" fillId="0" borderId="0" xfId="0" applyNumberFormat="1" applyAlignment="1">
      <alignment horizontal="left"/>
    </xf>
    <xf numFmtId="10" fontId="0" fillId="0" borderId="0" xfId="0" applyNumberFormat="1"/>
    <xf numFmtId="0" fontId="18" fillId="0" borderId="0" xfId="0" applyFont="1"/>
    <xf numFmtId="0" fontId="16" fillId="33" borderId="14" xfId="0" applyFont="1" applyFill="1" applyBorder="1"/>
    <xf numFmtId="0" fontId="16" fillId="33" borderId="15" xfId="0" applyFont="1" applyFill="1" applyBorder="1" applyAlignment="1">
      <alignment horizontal="left"/>
    </xf>
    <xf numFmtId="10" fontId="16" fillId="33" borderId="15" xfId="0" applyNumberFormat="1" applyFont="1" applyFill="1" applyBorder="1"/>
    <xf numFmtId="2" fontId="0" fillId="0" borderId="0" xfId="0" applyNumberFormat="1"/>
    <xf numFmtId="0" fontId="0" fillId="0" borderId="16" xfId="0" applyBorder="1" applyAlignment="1">
      <alignment horizontal="center" vertical="center"/>
    </xf>
    <xf numFmtId="0" fontId="0" fillId="0" borderId="13" xfId="0" applyBorder="1" applyAlignment="1">
      <alignment horizontal="center" vertical="center"/>
    </xf>
    <xf numFmtId="0" fontId="16" fillId="0" borderId="17"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0" fontId="0" fillId="0" borderId="20" xfId="0" applyBorder="1" applyAlignment="1">
      <alignment horizontal="center" vertical="center"/>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[employees.xlsx]Sheet10!categorysales</c:name>
    <c:fmtId val="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65000"/>
            </a:schemeClr>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hade val="65000"/>
            </a:schemeClr>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65000"/>
            </a:schemeClr>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hade val="65000"/>
            </a:schemeClr>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tint val="65000"/>
            </a:schemeClr>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hade val="65000"/>
            </a:schemeClr>
          </a:solidFill>
          <a:ln w="19050">
            <a:solidFill>
              <a:schemeClr val="lt1"/>
            </a:solidFill>
          </a:ln>
          <a:effectLst/>
        </c:spPr>
      </c:pivotFmt>
    </c:pivotFmts>
    <c:plotArea>
      <c:layout>
        <c:manualLayout>
          <c:layoutTarget val="inner"/>
          <c:xMode val="edge"/>
          <c:yMode val="edge"/>
          <c:x val="0.29618236076654797"/>
          <c:y val="0.12877680830436736"/>
          <c:w val="0.50784165677920401"/>
          <c:h val="0.83496488614598852"/>
        </c:manualLayout>
      </c:layout>
      <c:pieChart>
        <c:varyColors val="1"/>
        <c:ser>
          <c:idx val="0"/>
          <c:order val="0"/>
          <c:tx>
            <c:strRef>
              <c:f>Sheet10!$C$2</c:f>
              <c:strCache>
                <c:ptCount val="1"/>
                <c:pt idx="0">
                  <c:v>Sum of Total_Sales2</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9D1C-4AF0-BA8B-106E9F6BA11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9D1C-4AF0-BA8B-106E9F6BA11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9D1C-4AF0-BA8B-106E9F6BA1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Sheet10!$B$3:$B$6</c:f>
              <c:strCache>
                <c:ptCount val="3"/>
                <c:pt idx="0">
                  <c:v>Accessories</c:v>
                </c:pt>
                <c:pt idx="1">
                  <c:v>Electronics</c:v>
                </c:pt>
                <c:pt idx="2">
                  <c:v>Furniture</c:v>
                </c:pt>
              </c:strCache>
            </c:strRef>
          </c:cat>
          <c:val>
            <c:numRef>
              <c:f>Sheet10!$C$3:$C$6</c:f>
              <c:numCache>
                <c:formatCode>0.00%</c:formatCode>
                <c:ptCount val="3"/>
                <c:pt idx="0">
                  <c:v>0.10591471801925723</c:v>
                </c:pt>
                <c:pt idx="1">
                  <c:v>0.65566254011921132</c:v>
                </c:pt>
                <c:pt idx="2">
                  <c:v>0.2384227418615314</c:v>
                </c:pt>
              </c:numCache>
            </c:numRef>
          </c:val>
          <c:extLst>
            <c:ext xmlns:c16="http://schemas.microsoft.com/office/drawing/2014/chart" uri="{C3380CC4-5D6E-409C-BE32-E72D297353CC}">
              <c16:uniqueId val="{00000006-9D1C-4AF0-BA8B-106E9F6BA11A}"/>
            </c:ext>
          </c:extLst>
        </c:ser>
        <c:ser>
          <c:idx val="1"/>
          <c:order val="1"/>
          <c:tx>
            <c:strRef>
              <c:f>Sheet10!$D$2</c:f>
              <c:strCache>
                <c:ptCount val="1"/>
                <c:pt idx="0">
                  <c:v>Sum of Total_Sales</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8-9D1C-4AF0-BA8B-106E9F6BA11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A-9D1C-4AF0-BA8B-106E9F6BA11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C-9D1C-4AF0-BA8B-106E9F6BA1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Sheet10!$B$3:$B$6</c:f>
              <c:strCache>
                <c:ptCount val="3"/>
                <c:pt idx="0">
                  <c:v>Accessories</c:v>
                </c:pt>
                <c:pt idx="1">
                  <c:v>Electronics</c:v>
                </c:pt>
                <c:pt idx="2">
                  <c:v>Furniture</c:v>
                </c:pt>
              </c:strCache>
            </c:strRef>
          </c:cat>
          <c:val>
            <c:numRef>
              <c:f>Sheet10!$D$3:$D$6</c:f>
              <c:numCache>
                <c:formatCode>General</c:formatCode>
                <c:ptCount val="3"/>
                <c:pt idx="0">
                  <c:v>115500</c:v>
                </c:pt>
                <c:pt idx="1">
                  <c:v>715000</c:v>
                </c:pt>
                <c:pt idx="2">
                  <c:v>260000</c:v>
                </c:pt>
              </c:numCache>
            </c:numRef>
          </c:val>
          <c:extLst>
            <c:ext xmlns:c16="http://schemas.microsoft.com/office/drawing/2014/chart" uri="{C3380CC4-5D6E-409C-BE32-E72D297353CC}">
              <c16:uniqueId val="{0000000D-9D1C-4AF0-BA8B-106E9F6BA1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[employees.xlsx]Sheet10!productsales</c:name>
    <c:fmtId val="4"/>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Sheet10!$AA$2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Sheet10!$Z$3:$Z$13</c:f>
              <c:strCache>
                <c:ptCount val="10"/>
                <c:pt idx="0">
                  <c:v>Headphones</c:v>
                </c:pt>
                <c:pt idx="1">
                  <c:v>Keyboard</c:v>
                </c:pt>
                <c:pt idx="2">
                  <c:v>Laptop</c:v>
                </c:pt>
                <c:pt idx="3">
                  <c:v>Mobile Phone</c:v>
                </c:pt>
                <c:pt idx="4">
                  <c:v>Monitor</c:v>
                </c:pt>
                <c:pt idx="5">
                  <c:v>Mouse</c:v>
                </c:pt>
                <c:pt idx="6">
                  <c:v>Office Chair</c:v>
                </c:pt>
                <c:pt idx="7">
                  <c:v>Printer</c:v>
                </c:pt>
                <c:pt idx="8">
                  <c:v>Sofa</c:v>
                </c:pt>
                <c:pt idx="9">
                  <c:v>Table</c:v>
                </c:pt>
              </c:strCache>
            </c:strRef>
          </c:cat>
          <c:val>
            <c:numRef>
              <c:f>Sheet10!$AA$3:$AA$13</c:f>
              <c:numCache>
                <c:formatCode>General</c:formatCode>
                <c:ptCount val="10"/>
                <c:pt idx="0">
                  <c:v>48000</c:v>
                </c:pt>
                <c:pt idx="1">
                  <c:v>37500</c:v>
                </c:pt>
                <c:pt idx="2">
                  <c:v>250000</c:v>
                </c:pt>
                <c:pt idx="3">
                  <c:v>240000</c:v>
                </c:pt>
                <c:pt idx="4">
                  <c:v>120000</c:v>
                </c:pt>
                <c:pt idx="5">
                  <c:v>30000</c:v>
                </c:pt>
                <c:pt idx="6">
                  <c:v>80000</c:v>
                </c:pt>
                <c:pt idx="7">
                  <c:v>105000</c:v>
                </c:pt>
                <c:pt idx="8">
                  <c:v>120000</c:v>
                </c:pt>
                <c:pt idx="9">
                  <c:v>60000</c:v>
                </c:pt>
              </c:numCache>
            </c:numRef>
          </c:val>
          <c:extLst>
            <c:ext xmlns:c16="http://schemas.microsoft.com/office/drawing/2014/chart" uri="{C3380CC4-5D6E-409C-BE32-E72D297353CC}">
              <c16:uniqueId val="{00000000-E338-43CE-AB6B-87B7ED991D9F}"/>
            </c:ext>
          </c:extLst>
        </c:ser>
        <c:dLbls>
          <c:dLblPos val="outEnd"/>
          <c:showLegendKey val="0"/>
          <c:showVal val="1"/>
          <c:showCatName val="0"/>
          <c:showSerName val="0"/>
          <c:showPercent val="0"/>
          <c:showBubbleSize val="0"/>
        </c:dLbls>
        <c:gapWidth val="115"/>
        <c:overlap val="-20"/>
        <c:axId val="130199712"/>
        <c:axId val="130204608"/>
      </c:barChart>
      <c:catAx>
        <c:axId val="1301997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204608"/>
        <c:crosses val="autoZero"/>
        <c:auto val="1"/>
        <c:lblAlgn val="ctr"/>
        <c:lblOffset val="100"/>
        <c:noMultiLvlLbl val="0"/>
      </c:catAx>
      <c:valAx>
        <c:axId val="130204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199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[employees.xlsx]Sheet10!regionsales</c:name>
    <c:fmtId val="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Sheet10!$H$2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Sheet10!$G$3:$G$7</c:f>
              <c:strCache>
                <c:ptCount val="4"/>
                <c:pt idx="0">
                  <c:v>East</c:v>
                </c:pt>
                <c:pt idx="1">
                  <c:v>North</c:v>
                </c:pt>
                <c:pt idx="2">
                  <c:v>South</c:v>
                </c:pt>
                <c:pt idx="3">
                  <c:v>West</c:v>
                </c:pt>
              </c:strCache>
            </c:strRef>
          </c:cat>
          <c:val>
            <c:numRef>
              <c:f>Sheet10!$H$3:$H$7</c:f>
              <c:numCache>
                <c:formatCode>General</c:formatCode>
                <c:ptCount val="4"/>
                <c:pt idx="0">
                  <c:v>117500</c:v>
                </c:pt>
                <c:pt idx="1">
                  <c:v>403000</c:v>
                </c:pt>
                <c:pt idx="2">
                  <c:v>480000</c:v>
                </c:pt>
                <c:pt idx="3">
                  <c:v>90000</c:v>
                </c:pt>
              </c:numCache>
            </c:numRef>
          </c:val>
          <c:extLst>
            <c:ext xmlns:c16="http://schemas.microsoft.com/office/drawing/2014/chart" uri="{C3380CC4-5D6E-409C-BE32-E72D297353CC}">
              <c16:uniqueId val="{00000000-09B2-4C7E-BBC6-93B2EFF5F263}"/>
            </c:ext>
          </c:extLst>
        </c:ser>
        <c:dLbls>
          <c:dLblPos val="outEnd"/>
          <c:showLegendKey val="0"/>
          <c:showVal val="1"/>
          <c:showCatName val="0"/>
          <c:showSerName val="0"/>
          <c:showPercent val="0"/>
          <c:showBubbleSize val="0"/>
        </c:dLbls>
        <c:gapWidth val="219"/>
        <c:overlap val="-27"/>
        <c:axId val="130193728"/>
        <c:axId val="130205696"/>
      </c:barChart>
      <c:catAx>
        <c:axId val="13019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205696"/>
        <c:crosses val="autoZero"/>
        <c:auto val="1"/>
        <c:lblAlgn val="ctr"/>
        <c:lblOffset val="100"/>
        <c:noMultiLvlLbl val="0"/>
      </c:catAx>
      <c:valAx>
        <c:axId val="130205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19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[employees.xlsx]Sheet10!sales_by_sales_rep</c:name>
    <c:fmtId val="4"/>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61682567850636"/>
          <c:y val="0.13145086030912803"/>
          <c:w val="0.52885351812136239"/>
          <c:h val="0.83885684550906658"/>
        </c:manualLayout>
      </c:layout>
      <c:doughnutChart>
        <c:varyColors val="1"/>
        <c:ser>
          <c:idx val="0"/>
          <c:order val="0"/>
          <c:tx>
            <c:strRef>
              <c:f>Sheet10!$N$2</c:f>
              <c:strCache>
                <c:ptCount val="1"/>
                <c:pt idx="0">
                  <c:v>Total</c:v>
                </c:pt>
              </c:strCache>
            </c:strRef>
          </c:tx>
          <c:explosion val="1"/>
          <c:dPt>
            <c:idx val="0"/>
            <c:bubble3D val="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E5-4D39-92B8-C66F952DB667}"/>
              </c:ext>
            </c:extLst>
          </c:dPt>
          <c:dPt>
            <c:idx val="1"/>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E5-4D39-92B8-C66F952DB667}"/>
              </c:ext>
            </c:extLst>
          </c:dPt>
          <c:dPt>
            <c:idx val="2"/>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EE5-4D39-92B8-C66F952DB667}"/>
              </c:ext>
            </c:extLst>
          </c:dPt>
          <c:dPt>
            <c:idx val="3"/>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EE5-4D39-92B8-C66F952DB6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Sheet10!$M$3:$M$7</c:f>
              <c:strCache>
                <c:ptCount val="4"/>
                <c:pt idx="0">
                  <c:v>Alex</c:v>
                </c:pt>
                <c:pt idx="1">
                  <c:v>John</c:v>
                </c:pt>
                <c:pt idx="2">
                  <c:v>Nina</c:v>
                </c:pt>
                <c:pt idx="3">
                  <c:v>Sara</c:v>
                </c:pt>
              </c:strCache>
            </c:strRef>
          </c:cat>
          <c:val>
            <c:numRef>
              <c:f>Sheet10!$N$3:$N$7</c:f>
              <c:numCache>
                <c:formatCode>General</c:formatCode>
                <c:ptCount val="4"/>
                <c:pt idx="0">
                  <c:v>403000</c:v>
                </c:pt>
                <c:pt idx="1">
                  <c:v>117500</c:v>
                </c:pt>
                <c:pt idx="2">
                  <c:v>90000</c:v>
                </c:pt>
                <c:pt idx="3">
                  <c:v>480000</c:v>
                </c:pt>
              </c:numCache>
            </c:numRef>
          </c:val>
          <c:extLst>
            <c:ext xmlns:c16="http://schemas.microsoft.com/office/drawing/2014/chart" uri="{C3380CC4-5D6E-409C-BE32-E72D297353CC}">
              <c16:uniqueId val="{00000008-8EE5-4D39-92B8-C66F952DB667}"/>
            </c:ext>
          </c:extLst>
        </c:ser>
        <c:dLbls>
          <c:showLegendKey val="0"/>
          <c:showVal val="0"/>
          <c:showCatName val="0"/>
          <c:showSerName val="0"/>
          <c:showPercent val="1"/>
          <c:showBubbleSize val="0"/>
          <c:showLeaderLines val="1"/>
        </c:dLbls>
        <c:firstSliceAng val="208"/>
        <c:holeSize val="4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[employees.xlsx]Sheet10!daily_sales</c:name>
    <c:fmtId val="5"/>
  </c:pivotSource>
  <c:chart>
    <c:title>
      <c:tx>
        <c:strRef>
          <c:f>Sheet10!$S$2</c:f>
          <c:strCache>
            <c:ptCount val="1"/>
            <c:pt idx="0">
              <c:v>1090500</c:v>
            </c:pt>
          </c:strCache>
        </c:strRef>
      </c:tx>
      <c:overlay val="0"/>
      <c:spPr>
        <a:solidFill>
          <a:schemeClr val="bg1">
            <a:lumMod val="85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Sheet10!$S$2</c:f>
              <c:strCache>
                <c:ptCount val="1"/>
                <c:pt idx="0">
                  <c:v>Total</c:v>
                </c:pt>
              </c:strCache>
            </c:strRef>
          </c:tx>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Sheet10!$S$2</c:f>
              <c:strCache>
                <c:ptCount val="5"/>
                <c:pt idx="0">
                  <c:v>1/1/2025</c:v>
                </c:pt>
                <c:pt idx="1">
                  <c:v>2/1/2025</c:v>
                </c:pt>
                <c:pt idx="2">
                  <c:v>3/1/2025</c:v>
                </c:pt>
                <c:pt idx="3">
                  <c:v>4/1/2025</c:v>
                </c:pt>
                <c:pt idx="4">
                  <c:v>5/1/2025</c:v>
                </c:pt>
              </c:strCache>
            </c:strRef>
          </c:cat>
          <c:val>
            <c:numRef>
              <c:f>Sheet10!$S$2</c:f>
              <c:numCache>
                <c:formatCode>General</c:formatCode>
                <c:ptCount val="5"/>
                <c:pt idx="0">
                  <c:v>490000</c:v>
                </c:pt>
                <c:pt idx="1">
                  <c:v>140000</c:v>
                </c:pt>
                <c:pt idx="2">
                  <c:v>168000</c:v>
                </c:pt>
                <c:pt idx="3">
                  <c:v>67500</c:v>
                </c:pt>
                <c:pt idx="4">
                  <c:v>225000</c:v>
                </c:pt>
              </c:numCache>
            </c:numRef>
          </c:val>
          <c:smooth val="0"/>
          <c:extLst>
            <c:ext xmlns:c16="http://schemas.microsoft.com/office/drawing/2014/chart" uri="{C3380CC4-5D6E-409C-BE32-E72D297353CC}">
              <c16:uniqueId val="{00000000-29EE-4D52-BA30-0BF81A63A658}"/>
            </c:ext>
          </c:extLst>
        </c:ser>
        <c:dLbls>
          <c:dLblPos val="t"/>
          <c:showLegendKey val="0"/>
          <c:showVal val="1"/>
          <c:showCatName val="0"/>
          <c:showSerName val="0"/>
          <c:showPercent val="0"/>
          <c:showBubbleSize val="0"/>
        </c:dLbls>
        <c:marker val="1"/>
        <c:smooth val="0"/>
        <c:axId val="130197536"/>
        <c:axId val="130208960"/>
      </c:lineChart>
      <c:catAx>
        <c:axId val="130197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208960"/>
        <c:crosses val="autoZero"/>
        <c:auto val="1"/>
        <c:lblAlgn val="ctr"/>
        <c:lblOffset val="100"/>
        <c:noMultiLvlLbl val="0"/>
      </c:catAx>
      <c:valAx>
        <c:axId val="130208960"/>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197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[employees.xlsx]Sheet10!categorysales</c:name>
    <c:fmtId val="0"/>
  </c:pivotSource>
  <c:chart>
    <c:title>
      <c:tx>
        <c:strRef>
          <c:f>Sheet10!$E$6</c:f>
          <c:strCache>
            <c:ptCount val="1"/>
            <c:pt idx="0">
              <c:v>1090500</c:v>
            </c:pt>
          </c:strCache>
        </c:strRef>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65000"/>
            </a:schemeClr>
          </a:solidFill>
          <a:ln w="19050">
            <a:solidFill>
              <a:schemeClr val="lt1"/>
            </a:solidFill>
          </a:ln>
          <a:effectLst/>
        </c:spPr>
      </c:pivotFmt>
      <c:pivotFmt>
        <c:idx val="9"/>
        <c:spPr>
          <a:solidFill>
            <a:schemeClr val="accent6">
              <a:tint val="65000"/>
            </a:schemeClr>
          </a:solidFill>
          <a:ln w="19050">
            <a:solidFill>
              <a:schemeClr val="lt1"/>
            </a:solidFill>
          </a:ln>
          <a:effectLst/>
        </c:spPr>
      </c:pivotFmt>
      <c:pivotFmt>
        <c:idx val="10"/>
        <c:spPr>
          <a:solidFill>
            <a:schemeClr val="accent6">
              <a:tint val="65000"/>
            </a:schemeClr>
          </a:solidFill>
          <a:ln w="19050">
            <a:solidFill>
              <a:schemeClr val="lt1"/>
            </a:solidFill>
          </a:ln>
          <a:effectLst/>
        </c:spPr>
      </c:pivotFmt>
      <c:pivotFmt>
        <c:idx val="11"/>
        <c:spPr>
          <a:solidFill>
            <a:schemeClr val="accent6">
              <a:tint val="65000"/>
            </a:schemeClr>
          </a:solidFill>
          <a:ln w="19050">
            <a:solidFill>
              <a:schemeClr val="lt1"/>
            </a:solidFill>
          </a:ln>
          <a:effectLst/>
        </c:spPr>
      </c:pivotFmt>
      <c:pivotFmt>
        <c:idx val="12"/>
        <c:spPr>
          <a:solidFill>
            <a:schemeClr val="accent6">
              <a:shade val="65000"/>
            </a:schemeClr>
          </a:solidFill>
          <a:ln w="19050">
            <a:solidFill>
              <a:schemeClr val="lt1"/>
            </a:solidFill>
          </a:ln>
          <a:effectLst/>
        </c:spPr>
      </c:pivotFmt>
      <c:pivotFmt>
        <c:idx val="13"/>
        <c:spPr>
          <a:solidFill>
            <a:schemeClr val="accent6">
              <a:shade val="65000"/>
            </a:schemeClr>
          </a:solidFill>
          <a:ln w="19050">
            <a:solidFill>
              <a:schemeClr val="lt1"/>
            </a:solidFill>
          </a:ln>
          <a:effectLst/>
        </c:spPr>
      </c:pivotFmt>
    </c:pivotFmts>
    <c:plotArea>
      <c:layout>
        <c:manualLayout>
          <c:layoutTarget val="inner"/>
          <c:xMode val="edge"/>
          <c:yMode val="edge"/>
          <c:x val="0.2377348946099864"/>
          <c:y val="0.12277065340314691"/>
          <c:w val="0.53992788422312599"/>
          <c:h val="0.74487488644700284"/>
        </c:manualLayout>
      </c:layout>
      <c:pieChart>
        <c:varyColors val="1"/>
        <c:ser>
          <c:idx val="0"/>
          <c:order val="0"/>
          <c:tx>
            <c:strRef>
              <c:f>Sheet10!$E$6</c:f>
              <c:strCache>
                <c:ptCount val="1"/>
                <c:pt idx="0">
                  <c:v>Sum of Total_Sales2</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0065-4B5E-8023-614680C8F03E}"/>
              </c:ext>
            </c:extLst>
          </c:dPt>
          <c:dPt>
            <c:idx val="1"/>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3-0065-4B5E-8023-614680C8F03E}"/>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0065-4B5E-8023-614680C8F0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Sheet10!$E$6</c:f>
              <c:strCache>
                <c:ptCount val="3"/>
                <c:pt idx="0">
                  <c:v>Accessories</c:v>
                </c:pt>
                <c:pt idx="1">
                  <c:v>Electronics</c:v>
                </c:pt>
                <c:pt idx="2">
                  <c:v>Furniture</c:v>
                </c:pt>
              </c:strCache>
            </c:strRef>
          </c:cat>
          <c:val>
            <c:numRef>
              <c:f>Sheet10!$E$6</c:f>
              <c:numCache>
                <c:formatCode>0.00%</c:formatCode>
                <c:ptCount val="3"/>
                <c:pt idx="0">
                  <c:v>0.10591471801925723</c:v>
                </c:pt>
                <c:pt idx="1">
                  <c:v>0.65566254011921132</c:v>
                </c:pt>
                <c:pt idx="2">
                  <c:v>0.2384227418615314</c:v>
                </c:pt>
              </c:numCache>
            </c:numRef>
          </c:val>
          <c:extLst>
            <c:ext xmlns:c16="http://schemas.microsoft.com/office/drawing/2014/chart" uri="{C3380CC4-5D6E-409C-BE32-E72D297353CC}">
              <c16:uniqueId val="{00000006-0065-4B5E-8023-614680C8F03E}"/>
            </c:ext>
          </c:extLst>
        </c:ser>
        <c:ser>
          <c:idx val="1"/>
          <c:order val="1"/>
          <c:tx>
            <c:strRef>
              <c:f>Sheet10!$E$6</c:f>
              <c:strCache>
                <c:ptCount val="1"/>
                <c:pt idx="0">
                  <c:v>Sum of Total_Sales</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8-0065-4B5E-8023-614680C8F03E}"/>
              </c:ext>
            </c:extLst>
          </c:dPt>
          <c:dPt>
            <c:idx val="1"/>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A-0065-4B5E-8023-614680C8F03E}"/>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C-0065-4B5E-8023-614680C8F0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Sheet10!$E$6</c:f>
              <c:strCache>
                <c:ptCount val="3"/>
                <c:pt idx="0">
                  <c:v>Accessories</c:v>
                </c:pt>
                <c:pt idx="1">
                  <c:v>Electronics</c:v>
                </c:pt>
                <c:pt idx="2">
                  <c:v>Furniture</c:v>
                </c:pt>
              </c:strCache>
            </c:strRef>
          </c:cat>
          <c:val>
            <c:numRef>
              <c:f>Sheet10!$E$6</c:f>
              <c:numCache>
                <c:formatCode>General</c:formatCode>
                <c:ptCount val="3"/>
                <c:pt idx="0">
                  <c:v>115500</c:v>
                </c:pt>
                <c:pt idx="1">
                  <c:v>715000</c:v>
                </c:pt>
                <c:pt idx="2">
                  <c:v>260000</c:v>
                </c:pt>
              </c:numCache>
            </c:numRef>
          </c:val>
          <c:extLst>
            <c:ext xmlns:c16="http://schemas.microsoft.com/office/drawing/2014/chart" uri="{C3380CC4-5D6E-409C-BE32-E72D297353CC}">
              <c16:uniqueId val="{0000000D-0065-4B5E-8023-614680C8F0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[employees.xlsx]Sheet10!regionsales</c:name>
    <c:fmtId val="0"/>
  </c:pivotSource>
  <c:chart>
    <c:title>
      <c:tx>
        <c:strRef>
          <c:f>Sheet10!$E$2</c:f>
          <c:strCache>
            <c:ptCount val="1"/>
            <c:pt idx="0">
              <c:v>1090500</c:v>
            </c:pt>
          </c:strCache>
        </c:strRef>
      </c:tx>
      <c:overlay val="0"/>
      <c:spPr>
        <a:solidFill>
          <a:schemeClr val="bg2">
            <a:lumMod val="9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Sheet10!$E$2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Sheet10!$E$2</c:f>
              <c:strCache>
                <c:ptCount val="4"/>
                <c:pt idx="0">
                  <c:v>East</c:v>
                </c:pt>
                <c:pt idx="1">
                  <c:v>North</c:v>
                </c:pt>
                <c:pt idx="2">
                  <c:v>South</c:v>
                </c:pt>
                <c:pt idx="3">
                  <c:v>West</c:v>
                </c:pt>
              </c:strCache>
            </c:strRef>
          </c:cat>
          <c:val>
            <c:numRef>
              <c:f>Sheet10!$E$2</c:f>
              <c:numCache>
                <c:formatCode>General</c:formatCode>
                <c:ptCount val="4"/>
                <c:pt idx="0">
                  <c:v>117500</c:v>
                </c:pt>
                <c:pt idx="1">
                  <c:v>403000</c:v>
                </c:pt>
                <c:pt idx="2">
                  <c:v>480000</c:v>
                </c:pt>
                <c:pt idx="3">
                  <c:v>90000</c:v>
                </c:pt>
              </c:numCache>
            </c:numRef>
          </c:val>
          <c:extLst>
            <c:ext xmlns:c16="http://schemas.microsoft.com/office/drawing/2014/chart" uri="{C3380CC4-5D6E-409C-BE32-E72D297353CC}">
              <c16:uniqueId val="{00000000-25CE-47FE-9D6E-05CF97264667}"/>
            </c:ext>
          </c:extLst>
        </c:ser>
        <c:dLbls>
          <c:dLblPos val="outEnd"/>
          <c:showLegendKey val="0"/>
          <c:showVal val="1"/>
          <c:showCatName val="0"/>
          <c:showSerName val="0"/>
          <c:showPercent val="0"/>
          <c:showBubbleSize val="0"/>
        </c:dLbls>
        <c:gapWidth val="219"/>
        <c:overlap val="-27"/>
        <c:axId val="130195904"/>
        <c:axId val="130198080"/>
      </c:barChart>
      <c:catAx>
        <c:axId val="13019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198080"/>
        <c:crosses val="autoZero"/>
        <c:auto val="1"/>
        <c:lblAlgn val="ctr"/>
        <c:lblOffset val="100"/>
        <c:noMultiLvlLbl val="0"/>
      </c:catAx>
      <c:valAx>
        <c:axId val="130198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195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[employees.xlsx]Sheet10!sales_by_sales_rep</c:name>
    <c:fmtId val="0"/>
  </c:pivotSource>
  <c:chart>
    <c:title>
      <c:tx>
        <c:strRef>
          <c:f>Sheet10!$L$2</c:f>
          <c:strCache>
            <c:ptCount val="1"/>
            <c:pt idx="0">
              <c:v>1090500</c:v>
            </c:pt>
          </c:strCache>
        </c:strRef>
      </c:tx>
      <c:layout>
        <c:manualLayout>
          <c:xMode val="edge"/>
          <c:yMode val="edge"/>
          <c:x val="0.4441545918741886"/>
          <c:y val="2.931554307455744E-2"/>
        </c:manualLayout>
      </c:layout>
      <c:overlay val="1"/>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61682567850636"/>
          <c:y val="0.13145086030912803"/>
          <c:w val="0.52885351812136239"/>
          <c:h val="0.83885684550906658"/>
        </c:manualLayout>
      </c:layout>
      <c:doughnutChart>
        <c:varyColors val="1"/>
        <c:ser>
          <c:idx val="0"/>
          <c:order val="0"/>
          <c:tx>
            <c:strRef>
              <c:f>Sheet10!$L$2</c:f>
              <c:strCache>
                <c:ptCount val="1"/>
                <c:pt idx="0">
                  <c:v>Total</c:v>
                </c:pt>
              </c:strCache>
            </c:strRef>
          </c:tx>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2D6-4875-A779-07D264477EE8}"/>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2D6-4875-A779-07D264477EE8}"/>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2D6-4875-A779-07D264477EE8}"/>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2D6-4875-A779-07D264477E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Sheet10!$L$2</c:f>
              <c:strCache>
                <c:ptCount val="4"/>
                <c:pt idx="0">
                  <c:v>Alex</c:v>
                </c:pt>
                <c:pt idx="1">
                  <c:v>John</c:v>
                </c:pt>
                <c:pt idx="2">
                  <c:v>Nina</c:v>
                </c:pt>
                <c:pt idx="3">
                  <c:v>Sara</c:v>
                </c:pt>
              </c:strCache>
            </c:strRef>
          </c:cat>
          <c:val>
            <c:numRef>
              <c:f>Sheet10!$L$2</c:f>
              <c:numCache>
                <c:formatCode>General</c:formatCode>
                <c:ptCount val="4"/>
                <c:pt idx="0">
                  <c:v>403000</c:v>
                </c:pt>
                <c:pt idx="1">
                  <c:v>117500</c:v>
                </c:pt>
                <c:pt idx="2">
                  <c:v>90000</c:v>
                </c:pt>
                <c:pt idx="3">
                  <c:v>480000</c:v>
                </c:pt>
              </c:numCache>
            </c:numRef>
          </c:val>
          <c:extLst>
            <c:ext xmlns:c16="http://schemas.microsoft.com/office/drawing/2014/chart" uri="{C3380CC4-5D6E-409C-BE32-E72D297353CC}">
              <c16:uniqueId val="{00000008-E2D6-4875-A779-07D264477EE8}"/>
            </c:ext>
          </c:extLst>
        </c:ser>
        <c:dLbls>
          <c:showLegendKey val="0"/>
          <c:showVal val="0"/>
          <c:showCatName val="0"/>
          <c:showSerName val="0"/>
          <c:showPercent val="1"/>
          <c:showBubbleSize val="0"/>
          <c:showLeaderLines val="1"/>
        </c:dLbls>
        <c:firstSliceAng val="208"/>
        <c:holeSize val="4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[employees.xlsx]Sheet10!daily_sales</c:name>
    <c:fmtId val="0"/>
  </c:pivotSource>
  <c:chart>
    <c:title>
      <c:tx>
        <c:strRef>
          <c:f>Sheet10!$S$2</c:f>
          <c:strCache>
            <c:ptCount val="1"/>
            <c:pt idx="0">
              <c:v>1090500</c:v>
            </c:pt>
          </c:strCache>
        </c:strRef>
      </c:tx>
      <c:overlay val="0"/>
      <c:spPr>
        <a:solidFill>
          <a:schemeClr val="bg1">
            <a:lumMod val="85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Sheet10!$S$2</c:f>
              <c:strCache>
                <c:ptCount val="1"/>
                <c:pt idx="0">
                  <c:v>Total</c:v>
                </c:pt>
              </c:strCache>
            </c:strRef>
          </c:tx>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solidFill>
                <a:schemeClr val="tx1"/>
              </a:solidFill>
              <a:ln w="12700">
                <a:solidFill>
                  <a:schemeClr val="tx1">
                    <a:lumMod val="65000"/>
                    <a:lumOff val="3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Sheet10!$S$2</c:f>
              <c:strCache>
                <c:ptCount val="5"/>
                <c:pt idx="0">
                  <c:v>1/1/2025</c:v>
                </c:pt>
                <c:pt idx="1">
                  <c:v>2/1/2025</c:v>
                </c:pt>
                <c:pt idx="2">
                  <c:v>3/1/2025</c:v>
                </c:pt>
                <c:pt idx="3">
                  <c:v>4/1/2025</c:v>
                </c:pt>
                <c:pt idx="4">
                  <c:v>5/1/2025</c:v>
                </c:pt>
              </c:strCache>
            </c:strRef>
          </c:cat>
          <c:val>
            <c:numRef>
              <c:f>Sheet10!$S$2</c:f>
              <c:numCache>
                <c:formatCode>General</c:formatCode>
                <c:ptCount val="5"/>
                <c:pt idx="0">
                  <c:v>490000</c:v>
                </c:pt>
                <c:pt idx="1">
                  <c:v>140000</c:v>
                </c:pt>
                <c:pt idx="2">
                  <c:v>168000</c:v>
                </c:pt>
                <c:pt idx="3">
                  <c:v>67500</c:v>
                </c:pt>
                <c:pt idx="4">
                  <c:v>225000</c:v>
                </c:pt>
              </c:numCache>
            </c:numRef>
          </c:val>
          <c:smooth val="0"/>
          <c:extLst>
            <c:ext xmlns:c16="http://schemas.microsoft.com/office/drawing/2014/chart" uri="{C3380CC4-5D6E-409C-BE32-E72D297353CC}">
              <c16:uniqueId val="{00000000-4A90-4797-A516-BB302EF48FBF}"/>
            </c:ext>
          </c:extLst>
        </c:ser>
        <c:dLbls>
          <c:dLblPos val="t"/>
          <c:showLegendKey val="0"/>
          <c:showVal val="1"/>
          <c:showCatName val="0"/>
          <c:showSerName val="0"/>
          <c:showPercent val="0"/>
          <c:showBubbleSize val="0"/>
        </c:dLbls>
        <c:marker val="1"/>
        <c:smooth val="0"/>
        <c:axId val="238651728"/>
        <c:axId val="238654448"/>
      </c:lineChart>
      <c:catAx>
        <c:axId val="238651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654448"/>
        <c:crosses val="autoZero"/>
        <c:auto val="1"/>
        <c:lblAlgn val="ctr"/>
        <c:lblOffset val="100"/>
        <c:noMultiLvlLbl val="0"/>
      </c:catAx>
      <c:valAx>
        <c:axId val="238654448"/>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651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[employees.xlsx]Sheet10!productsales</c:name>
    <c:fmtId val="0"/>
  </c:pivotSource>
  <c:chart>
    <c:title>
      <c:tx>
        <c:strRef>
          <c:f>Sheet10!$Y$2</c:f>
          <c:strCache>
            <c:ptCount val="1"/>
            <c:pt idx="0">
              <c:v>1090500</c:v>
            </c:pt>
          </c:strCache>
        </c:strRef>
      </c:tx>
      <c:overlay val="0"/>
      <c:spPr>
        <a:solidFill>
          <a:schemeClr val="accent6">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Sheet10!$Y$2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Sheet10!$Y$2</c:f>
              <c:strCache>
                <c:ptCount val="10"/>
                <c:pt idx="0">
                  <c:v>Headphones</c:v>
                </c:pt>
                <c:pt idx="1">
                  <c:v>Keyboard</c:v>
                </c:pt>
                <c:pt idx="2">
                  <c:v>Laptop</c:v>
                </c:pt>
                <c:pt idx="3">
                  <c:v>Mobile Phone</c:v>
                </c:pt>
                <c:pt idx="4">
                  <c:v>Monitor</c:v>
                </c:pt>
                <c:pt idx="5">
                  <c:v>Mouse</c:v>
                </c:pt>
                <c:pt idx="6">
                  <c:v>Office Chair</c:v>
                </c:pt>
                <c:pt idx="7">
                  <c:v>Printer</c:v>
                </c:pt>
                <c:pt idx="8">
                  <c:v>Sofa</c:v>
                </c:pt>
                <c:pt idx="9">
                  <c:v>Table</c:v>
                </c:pt>
              </c:strCache>
            </c:strRef>
          </c:cat>
          <c:val>
            <c:numRef>
              <c:f>Sheet10!$Y$2</c:f>
              <c:numCache>
                <c:formatCode>General</c:formatCode>
                <c:ptCount val="10"/>
                <c:pt idx="0">
                  <c:v>48000</c:v>
                </c:pt>
                <c:pt idx="1">
                  <c:v>37500</c:v>
                </c:pt>
                <c:pt idx="2">
                  <c:v>250000</c:v>
                </c:pt>
                <c:pt idx="3">
                  <c:v>240000</c:v>
                </c:pt>
                <c:pt idx="4">
                  <c:v>120000</c:v>
                </c:pt>
                <c:pt idx="5">
                  <c:v>30000</c:v>
                </c:pt>
                <c:pt idx="6">
                  <c:v>80000</c:v>
                </c:pt>
                <c:pt idx="7">
                  <c:v>105000</c:v>
                </c:pt>
                <c:pt idx="8">
                  <c:v>120000</c:v>
                </c:pt>
                <c:pt idx="9">
                  <c:v>60000</c:v>
                </c:pt>
              </c:numCache>
            </c:numRef>
          </c:val>
          <c:extLst>
            <c:ext xmlns:c16="http://schemas.microsoft.com/office/drawing/2014/chart" uri="{C3380CC4-5D6E-409C-BE32-E72D297353CC}">
              <c16:uniqueId val="{00000000-EE71-43BB-86C5-4CC07000C44F}"/>
            </c:ext>
          </c:extLst>
        </c:ser>
        <c:dLbls>
          <c:dLblPos val="outEnd"/>
          <c:showLegendKey val="0"/>
          <c:showVal val="1"/>
          <c:showCatName val="0"/>
          <c:showSerName val="0"/>
          <c:showPercent val="0"/>
          <c:showBubbleSize val="0"/>
        </c:dLbls>
        <c:gapWidth val="115"/>
        <c:overlap val="-20"/>
        <c:axId val="238654992"/>
        <c:axId val="238649008"/>
      </c:barChart>
      <c:catAx>
        <c:axId val="238654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649008"/>
        <c:crosses val="autoZero"/>
        <c:auto val="1"/>
        <c:lblAlgn val="ctr"/>
        <c:lblOffset val="100"/>
        <c:noMultiLvlLbl val="0"/>
      </c:catAx>
      <c:valAx>
        <c:axId val="238649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865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2</xdr:col>
      <xdr:colOff>371475</xdr:colOff>
      <xdr:row>3</xdr:row>
      <xdr:rowOff>47625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9525"/>
          <a:ext cx="2009775" cy="6096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Sales</a:t>
          </a:r>
          <a:r>
            <a:rPr lang="en-US" sz="2000" b="1" baseline="0">
              <a:solidFill>
                <a:schemeClr val="bg1"/>
              </a:solidFill>
            </a:rPr>
            <a:t> Dashboard</a:t>
          </a:r>
          <a:endParaRPr lang="en-US" sz="2000" b="1">
            <a:solidFill>
              <a:schemeClr val="bg1"/>
            </a:solidFill>
          </a:endParaRPr>
        </a:p>
      </xdr:txBody>
    </xdr:sp>
    <xdr:clientData/>
  </xdr:twoCellAnchor>
  <xdr:twoCellAnchor editAs="oneCell">
    <xdr:from>
      <xdr:col>0</xdr:col>
      <xdr:colOff>0</xdr:colOff>
      <xdr:row>3</xdr:row>
      <xdr:rowOff>66674</xdr:rowOff>
    </xdr:from>
    <xdr:to>
      <xdr:col>2</xdr:col>
      <xdr:colOff>373380</xdr:colOff>
      <xdr:row>16</xdr:row>
      <xdr:rowOff>142875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638174"/>
              <a:ext cx="2011680" cy="2651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24</xdr:row>
      <xdr:rowOff>82549</xdr:rowOff>
    </xdr:from>
    <xdr:to>
      <xdr:col>2</xdr:col>
      <xdr:colOff>382905</xdr:colOff>
      <xdr:row>31</xdr:row>
      <xdr:rowOff>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25" y="4654549"/>
              <a:ext cx="2011680" cy="1250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142874</xdr:rowOff>
    </xdr:from>
    <xdr:to>
      <xdr:col>2</xdr:col>
      <xdr:colOff>373380</xdr:colOff>
      <xdr:row>24</xdr:row>
      <xdr:rowOff>85725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190874"/>
              <a:ext cx="2011680"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365239</xdr:colOff>
      <xdr:row>0</xdr:row>
      <xdr:rowOff>0</xdr:rowOff>
    </xdr:from>
    <xdr:to>
      <xdr:col>18</xdr:col>
      <xdr:colOff>295275</xdr:colOff>
      <xdr:row>3</xdr:row>
      <xdr:rowOff>76200</xdr:rowOff>
    </xdr:to>
    <mc:AlternateContent xmlns:mc="http://schemas.openxmlformats.org/markup-compatibility/2006" xmlns:a14="http://schemas.microsoft.com/office/drawing/2010/main">
      <mc:Choice Requires="a14">
        <xdr:graphicFrame macro="">
          <xdr:nvGraphicFramePr>
            <xdr:cNvPr id="6" name="Sales_Rep 1">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9213964" y="0"/>
              <a:ext cx="3587636"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380999</xdr:colOff>
      <xdr:row>3</xdr:row>
      <xdr:rowOff>57151</xdr:rowOff>
    </xdr:from>
    <xdr:to>
      <xdr:col>7</xdr:col>
      <xdr:colOff>297941</xdr:colOff>
      <xdr:row>15</xdr:row>
      <xdr:rowOff>142875</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380999</xdr:colOff>
      <xdr:row>15</xdr:row>
      <xdr:rowOff>152400</xdr:rowOff>
    </xdr:from>
    <xdr:to>
      <xdr:col>9</xdr:col>
      <xdr:colOff>342899</xdr:colOff>
      <xdr:row>31</xdr:row>
      <xdr:rowOff>19049</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3</xdr:row>
      <xdr:rowOff>57150</xdr:rowOff>
    </xdr:from>
    <xdr:to>
      <xdr:col>12</xdr:col>
      <xdr:colOff>352425</xdr:colOff>
      <xdr:row>15</xdr:row>
      <xdr:rowOff>139446</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361951</xdr:colOff>
      <xdr:row>3</xdr:row>
      <xdr:rowOff>57149</xdr:rowOff>
    </xdr:from>
    <xdr:to>
      <xdr:col>18</xdr:col>
      <xdr:colOff>279655</xdr:colOff>
      <xdr:row>15</xdr:row>
      <xdr:rowOff>139445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352425</xdr:colOff>
      <xdr:row>15</xdr:row>
      <xdr:rowOff>152399</xdr:rowOff>
    </xdr:from>
    <xdr:to>
      <xdr:col>18</xdr:col>
      <xdr:colOff>288417</xdr:colOff>
      <xdr:row>31</xdr:row>
      <xdr:rowOff>21335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371474</xdr:colOff>
      <xdr:row>0</xdr:row>
      <xdr:rowOff>9525</xdr:rowOff>
    </xdr:from>
    <xdr:to>
      <xdr:col>5</xdr:col>
      <xdr:colOff>775334</xdr:colOff>
      <xdr:row>3</xdr:row>
      <xdr:rowOff>47625</xdr:rowOff>
    </xdr:to>
    <xdr:sp macro="" textlink="">
      <xdr:nvSpPr>
        <xdr:cNvPr id="13" name="Rectangle 12">
          <a:extLst>
            <a:ext uri="{FF2B5EF4-FFF2-40B4-BE49-F238E27FC236}">
              <a16:creationId xmlns:a16="http://schemas.microsoft.com/office/drawing/2014/main" id="{B16DC622-62C4-4C2A-A304-AF4904DBE053}"/>
            </a:ext>
          </a:extLst>
        </xdr:cNvPr>
        <xdr:cNvSpPr/>
      </xdr:nvSpPr>
      <xdr:spPr>
        <a:xfrm>
          <a:off x="2009774" y="9525"/>
          <a:ext cx="2423160" cy="609600"/>
        </a:xfrm>
        <a:prstGeom prst="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Sales</a:t>
          </a:r>
        </a:p>
        <a:p>
          <a:pPr algn="ctr"/>
          <a:r>
            <a:rPr lang="en-US" sz="1400" b="1">
              <a:solidFill>
                <a:schemeClr val="bg1"/>
              </a:solidFill>
            </a:rPr>
            <a:t>1090500</a:t>
          </a:r>
        </a:p>
      </xdr:txBody>
    </xdr:sp>
    <xdr:clientData/>
  </xdr:twoCellAnchor>
  <xdr:twoCellAnchor>
    <xdr:from>
      <xdr:col>5</xdr:col>
      <xdr:colOff>781049</xdr:colOff>
      <xdr:row>0</xdr:row>
      <xdr:rowOff>9525</xdr:rowOff>
    </xdr:from>
    <xdr:to>
      <xdr:col>8</xdr:col>
      <xdr:colOff>672464</xdr:colOff>
      <xdr:row>3</xdr:row>
      <xdr:rowOff>47625</xdr:rowOff>
    </xdr:to>
    <xdr:sp macro="" textlink="">
      <xdr:nvSpPr>
        <xdr:cNvPr id="15" name="Rectangle 14">
          <a:extLst>
            <a:ext uri="{FF2B5EF4-FFF2-40B4-BE49-F238E27FC236}">
              <a16:creationId xmlns:a16="http://schemas.microsoft.com/office/drawing/2014/main" id="{98118274-6D79-4D08-8730-A1264A784A4C}"/>
            </a:ext>
          </a:extLst>
        </xdr:cNvPr>
        <xdr:cNvSpPr/>
      </xdr:nvSpPr>
      <xdr:spPr>
        <a:xfrm>
          <a:off x="4438649" y="9525"/>
          <a:ext cx="2377440" cy="609600"/>
        </a:xfrm>
        <a:prstGeom prst="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a:t>
          </a:r>
          <a:r>
            <a:rPr lang="en-US" sz="1600" b="1" baseline="0"/>
            <a:t> Category</a:t>
          </a:r>
        </a:p>
        <a:p>
          <a:pPr algn="ctr"/>
          <a:r>
            <a:rPr lang="en-US" sz="1600" b="1" baseline="0"/>
            <a:t>Electronics - 65.57%</a:t>
          </a:r>
          <a:endParaRPr lang="en-US" sz="1600" b="1"/>
        </a:p>
      </xdr:txBody>
    </xdr:sp>
    <xdr:clientData/>
  </xdr:twoCellAnchor>
  <xdr:twoCellAnchor>
    <xdr:from>
      <xdr:col>8</xdr:col>
      <xdr:colOff>676274</xdr:colOff>
      <xdr:row>0</xdr:row>
      <xdr:rowOff>9525</xdr:rowOff>
    </xdr:from>
    <xdr:to>
      <xdr:col>12</xdr:col>
      <xdr:colOff>348614</xdr:colOff>
      <xdr:row>3</xdr:row>
      <xdr:rowOff>47625</xdr:rowOff>
    </xdr:to>
    <xdr:sp macro="" textlink="">
      <xdr:nvSpPr>
        <xdr:cNvPr id="16" name="Rectangle 15">
          <a:extLst>
            <a:ext uri="{FF2B5EF4-FFF2-40B4-BE49-F238E27FC236}">
              <a16:creationId xmlns:a16="http://schemas.microsoft.com/office/drawing/2014/main" id="{37EBD38C-AE92-4708-B50F-E2B6921632BB}"/>
            </a:ext>
          </a:extLst>
        </xdr:cNvPr>
        <xdr:cNvSpPr/>
      </xdr:nvSpPr>
      <xdr:spPr>
        <a:xfrm>
          <a:off x="6819899" y="9525"/>
          <a:ext cx="2377440" cy="609600"/>
        </a:xfrm>
        <a:prstGeom prst="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Best</a:t>
          </a:r>
          <a:r>
            <a:rPr lang="en-US" sz="1600" b="1" baseline="0"/>
            <a:t> Region</a:t>
          </a:r>
        </a:p>
        <a:p>
          <a:pPr algn="ctr"/>
          <a:r>
            <a:rPr lang="en-US" sz="1600" b="1" baseline="0"/>
            <a:t>South - 480000</a:t>
          </a:r>
          <a:endParaRPr lang="en-US" sz="16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27215</xdr:colOff>
      <xdr:row>30</xdr:row>
      <xdr:rowOff>38100</xdr:rowOff>
    </xdr:from>
    <xdr:to>
      <xdr:col>2</xdr:col>
      <xdr:colOff>43884</xdr:colOff>
      <xdr:row>43</xdr:row>
      <xdr:rowOff>85725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215" y="5753100"/>
              <a:ext cx="182959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920181</xdr:colOff>
      <xdr:row>30</xdr:row>
      <xdr:rowOff>2042</xdr:rowOff>
    </xdr:from>
    <xdr:to>
      <xdr:col>3</xdr:col>
      <xdr:colOff>557438</xdr:colOff>
      <xdr:row>35</xdr:row>
      <xdr:rowOff>185398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6806" y="5717042"/>
              <a:ext cx="1821657" cy="1135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930047</xdr:colOff>
      <xdr:row>36</xdr:row>
      <xdr:rowOff>19050</xdr:rowOff>
    </xdr:from>
    <xdr:to>
      <xdr:col>3</xdr:col>
      <xdr:colOff>550635</xdr:colOff>
      <xdr:row>43</xdr:row>
      <xdr:rowOff>59531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6672" y="6877050"/>
              <a:ext cx="1814513" cy="1373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513896</xdr:colOff>
      <xdr:row>29</xdr:row>
      <xdr:rowOff>176667</xdr:rowOff>
    </xdr:from>
    <xdr:to>
      <xdr:col>4</xdr:col>
      <xdr:colOff>1139371</xdr:colOff>
      <xdr:row>37</xdr:row>
      <xdr:rowOff>147410</xdr:rowOff>
    </xdr:to>
    <mc:AlternateContent xmlns:mc="http://schemas.openxmlformats.org/markup-compatibility/2006" xmlns:a14="http://schemas.microsoft.com/office/drawing/2010/main">
      <mc:Choice Requires="a14">
        <xdr:graphicFrame macro="">
          <xdr:nvGraphicFramePr>
            <xdr:cNvPr id="5" name="Sales_Rep">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4641396" y="5701167"/>
              <a:ext cx="1822450" cy="1494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1131888</xdr:colOff>
      <xdr:row>29</xdr:row>
      <xdr:rowOff>185171</xdr:rowOff>
    </xdr:from>
    <xdr:to>
      <xdr:col>7</xdr:col>
      <xdr:colOff>243342</xdr:colOff>
      <xdr:row>44</xdr:row>
      <xdr:rowOff>188232</xdr:rowOff>
    </xdr:to>
    <mc:AlternateContent xmlns:mc="http://schemas.openxmlformats.org/markup-compatibility/2006" xmlns:a14="http://schemas.microsoft.com/office/drawing/2010/main">
      <mc:Choice Requires="a14">
        <xdr:graphicFrame macro="">
          <xdr:nvGraphicFramePr>
            <xdr:cNvPr id="6" name="Total_Sales">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mlns="">
        <xdr:sp macro="" textlink="">
          <xdr:nvSpPr>
            <xdr:cNvPr id="0" name=""/>
            <xdr:cNvSpPr>
              <a:spLocks noTextEdit="1"/>
            </xdr:cNvSpPr>
          </xdr:nvSpPr>
          <xdr:spPr>
            <a:xfrm>
              <a:off x="7037388" y="5709671"/>
              <a:ext cx="1813379" cy="286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130968</xdr:colOff>
      <xdr:row>7</xdr:row>
      <xdr:rowOff>3571</xdr:rowOff>
    </xdr:from>
    <xdr:to>
      <xdr:col>3</xdr:col>
      <xdr:colOff>1107281</xdr:colOff>
      <xdr:row>22</xdr:row>
      <xdr:rowOff>166687</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571499</xdr:colOff>
      <xdr:row>7</xdr:row>
      <xdr:rowOff>182166</xdr:rowOff>
    </xdr:from>
    <xdr:to>
      <xdr:col>9</xdr:col>
      <xdr:colOff>-1</xdr:colOff>
      <xdr:row>22</xdr:row>
      <xdr:rowOff>67866</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85725</xdr:colOff>
      <xdr:row>10</xdr:row>
      <xdr:rowOff>184547</xdr:rowOff>
    </xdr:from>
    <xdr:to>
      <xdr:col>16</xdr:col>
      <xdr:colOff>157161</xdr:colOff>
      <xdr:row>26</xdr:row>
      <xdr:rowOff>169068</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714375</xdr:colOff>
      <xdr:row>9</xdr:row>
      <xdr:rowOff>15478</xdr:rowOff>
    </xdr:from>
    <xdr:to>
      <xdr:col>23</xdr:col>
      <xdr:colOff>0</xdr:colOff>
      <xdr:row>23</xdr:row>
      <xdr:rowOff>91678</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560916</xdr:colOff>
      <xdr:row>13</xdr:row>
      <xdr:rowOff>73024</xdr:rowOff>
    </xdr:from>
    <xdr:to>
      <xdr:col>29</xdr:col>
      <xdr:colOff>232833</xdr:colOff>
      <xdr:row>27</xdr:row>
      <xdr:rowOff>149224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523875</xdr:colOff>
      <xdr:row>24</xdr:row>
      <xdr:rowOff>9525</xdr:rowOff>
    </xdr:from>
    <xdr:to>
      <xdr:col>4</xdr:col>
      <xdr:colOff>990600</xdr:colOff>
      <xdr:row>27</xdr:row>
      <xdr:rowOff>47625</xdr:rowOff>
    </xdr:to>
    <xdr:sp macro="" textlink="">
      <xdr:nvSpPr>
        <xdr:cNvPr id="12" name="Rectangle 11">
          <a:extLst>
            <a:ext uri="{FF2B5EF4-FFF2-40B4-BE49-F238E27FC236}">
              <a16:creationId xmlns:a16="http://schemas.microsoft.com/office/drawing/2014/main" id="{7D204857-600B-478A-8932-354F7F1A0CDB}"/>
            </a:ext>
          </a:extLst>
        </xdr:cNvPr>
        <xdr:cNvSpPr/>
      </xdr:nvSpPr>
      <xdr:spPr>
        <a:xfrm>
          <a:off x="4648200" y="4581525"/>
          <a:ext cx="2238375"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Sales</a:t>
          </a:r>
        </a:p>
        <a:p>
          <a:pPr algn="ctr"/>
          <a:r>
            <a:rPr lang="en-US" sz="1400"/>
            <a:t>1090500</a:t>
          </a:r>
        </a:p>
      </xdr:txBody>
    </xdr:sp>
    <xdr:clientData/>
  </xdr:twoCellAnchor>
  <xdr:twoCellAnchor>
    <xdr:from>
      <xdr:col>5</xdr:col>
      <xdr:colOff>9525</xdr:colOff>
      <xdr:row>24</xdr:row>
      <xdr:rowOff>9525</xdr:rowOff>
    </xdr:from>
    <xdr:to>
      <xdr:col>7</xdr:col>
      <xdr:colOff>323850</xdr:colOff>
      <xdr:row>27</xdr:row>
      <xdr:rowOff>47625</xdr:rowOff>
    </xdr:to>
    <xdr:sp macro="" textlink="">
      <xdr:nvSpPr>
        <xdr:cNvPr id="13" name="Rectangle 12">
          <a:extLst>
            <a:ext uri="{FF2B5EF4-FFF2-40B4-BE49-F238E27FC236}">
              <a16:creationId xmlns:a16="http://schemas.microsoft.com/office/drawing/2014/main" id="{B03C3839-A7AC-4974-A62B-C9E6B93B21BE}"/>
            </a:ext>
          </a:extLst>
        </xdr:cNvPr>
        <xdr:cNvSpPr/>
      </xdr:nvSpPr>
      <xdr:spPr>
        <a:xfrm>
          <a:off x="7134225" y="4581525"/>
          <a:ext cx="2238375"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Top</a:t>
          </a:r>
          <a:r>
            <a:rPr lang="en-US" sz="1600" baseline="0"/>
            <a:t> Category</a:t>
          </a:r>
        </a:p>
        <a:p>
          <a:pPr algn="ctr"/>
          <a:r>
            <a:rPr lang="en-US" sz="1600" baseline="0"/>
            <a:t>Electronics - 65.57%</a:t>
          </a:r>
          <a:endParaRPr lang="en-US" sz="1600"/>
        </a:p>
      </xdr:txBody>
    </xdr:sp>
    <xdr:clientData/>
  </xdr:twoCellAnchor>
  <xdr:twoCellAnchor>
    <xdr:from>
      <xdr:col>7</xdr:col>
      <xdr:colOff>485775</xdr:colOff>
      <xdr:row>23</xdr:row>
      <xdr:rowOff>180975</xdr:rowOff>
    </xdr:from>
    <xdr:to>
      <xdr:col>9</xdr:col>
      <xdr:colOff>238125</xdr:colOff>
      <xdr:row>27</xdr:row>
      <xdr:rowOff>28575</xdr:rowOff>
    </xdr:to>
    <xdr:sp macro="" textlink="">
      <xdr:nvSpPr>
        <xdr:cNvPr id="14" name="Rectangle 13">
          <a:extLst>
            <a:ext uri="{FF2B5EF4-FFF2-40B4-BE49-F238E27FC236}">
              <a16:creationId xmlns:a16="http://schemas.microsoft.com/office/drawing/2014/main" id="{4E2FDB45-4A94-421F-AD32-D3184BB53619}"/>
            </a:ext>
          </a:extLst>
        </xdr:cNvPr>
        <xdr:cNvSpPr/>
      </xdr:nvSpPr>
      <xdr:spPr>
        <a:xfrm>
          <a:off x="9534525" y="4562475"/>
          <a:ext cx="2238375"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Best</a:t>
          </a:r>
          <a:r>
            <a:rPr lang="en-US" sz="1600" baseline="0"/>
            <a:t> Region</a:t>
          </a:r>
        </a:p>
        <a:p>
          <a:pPr algn="ctr"/>
          <a:r>
            <a:rPr lang="en-US" sz="1600" baseline="0"/>
            <a:t>South - 480000</a:t>
          </a:r>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6.540257175926" createdVersion="5" refreshedVersion="5" minRefreshableVersion="3" recordCount="10" xr:uid="{00000000-000A-0000-FFFF-FFFF00000000}">
  <cacheSource type="worksheet">
    <worksheetSource ref="C2:J12" sheet="Sheet8"/>
  </cacheSource>
  <cacheFields count="9">
    <cacheField name="Order_ID" numFmtId="0">
      <sharedItems containsSemiMixedTypes="0" containsString="0" containsNumber="1" containsInteger="1" minValue="1001" maxValue="1010"/>
    </cacheField>
    <cacheField name="Order_Date" numFmtId="14">
      <sharedItems containsSemiMixedTypes="0" containsNonDate="0" containsDate="1" containsString="0" minDate="2025-01-01T00:00:00" maxDate="2025-05-02T00:00:00" count="5">
        <d v="2025-01-01T00:00:00"/>
        <d v="2025-02-01T00:00:00"/>
        <d v="2025-03-01T00:00:00"/>
        <d v="2025-04-01T00:00:00"/>
        <d v="2025-05-01T00:00:00"/>
      </sharedItems>
    </cacheField>
    <cacheField name="Product" numFmtId="0">
      <sharedItems count="10">
        <s v="Laptop"/>
        <s v="Mobile Phone"/>
        <s v="Office Chair"/>
        <s v="Table"/>
        <s v="Headphones"/>
        <s v="Monitor"/>
        <s v="Keyboard"/>
        <s v="Mouse"/>
        <s v="Printer"/>
        <s v="Sofa"/>
      </sharedItems>
    </cacheField>
    <cacheField name="Category" numFmtId="0">
      <sharedItems count="3">
        <s v="Electronics"/>
        <s v="Furniture"/>
        <s v="Accessories"/>
      </sharedItems>
    </cacheField>
    <cacheField name="Region" numFmtId="0">
      <sharedItems count="4">
        <s v="North"/>
        <s v="South"/>
        <s v="East"/>
        <s v="West"/>
      </sharedItems>
    </cacheField>
    <cacheField name="Sales_Rep" numFmtId="0">
      <sharedItems count="4">
        <s v="Alex"/>
        <s v="Sara"/>
        <s v="John"/>
        <s v="Nina"/>
      </sharedItems>
    </cacheField>
    <cacheField name="Units_Sold" numFmtId="0">
      <sharedItems containsSemiMixedTypes="0" containsString="0" containsNumber="1" containsInteger="1" minValue="2" maxValue="20"/>
    </cacheField>
    <cacheField name="Unit_Price" numFmtId="0">
      <sharedItems containsSemiMixedTypes="0" containsString="0" containsNumber="1" containsInteger="1" minValue="1500" maxValue="60000"/>
    </cacheField>
    <cacheField name="Total_Sales" numFmtId="0">
      <sharedItems containsSemiMixedTypes="0" containsString="0" containsNumber="1" containsInteger="1" minValue="30000" maxValue="250000" count="9">
        <n v="250000"/>
        <n v="240000"/>
        <n v="80000"/>
        <n v="60000"/>
        <n v="48000"/>
        <n v="120000"/>
        <n v="37500"/>
        <n v="30000"/>
        <n v="105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x v="0"/>
    <x v="0"/>
    <x v="0"/>
    <x v="0"/>
    <x v="0"/>
    <n v="5"/>
    <n v="50000"/>
    <x v="0"/>
  </r>
  <r>
    <n v="1002"/>
    <x v="0"/>
    <x v="1"/>
    <x v="0"/>
    <x v="1"/>
    <x v="1"/>
    <n v="8"/>
    <n v="30000"/>
    <x v="1"/>
  </r>
  <r>
    <n v="1003"/>
    <x v="1"/>
    <x v="2"/>
    <x v="1"/>
    <x v="2"/>
    <x v="2"/>
    <n v="10"/>
    <n v="8000"/>
    <x v="2"/>
  </r>
  <r>
    <n v="1004"/>
    <x v="1"/>
    <x v="3"/>
    <x v="1"/>
    <x v="3"/>
    <x v="3"/>
    <n v="4"/>
    <n v="15000"/>
    <x v="3"/>
  </r>
  <r>
    <n v="1005"/>
    <x v="2"/>
    <x v="4"/>
    <x v="2"/>
    <x v="0"/>
    <x v="0"/>
    <n v="12"/>
    <n v="4000"/>
    <x v="4"/>
  </r>
  <r>
    <n v="1006"/>
    <x v="2"/>
    <x v="5"/>
    <x v="0"/>
    <x v="1"/>
    <x v="1"/>
    <n v="6"/>
    <n v="20000"/>
    <x v="5"/>
  </r>
  <r>
    <n v="1007"/>
    <x v="3"/>
    <x v="6"/>
    <x v="2"/>
    <x v="2"/>
    <x v="2"/>
    <n v="15"/>
    <n v="2500"/>
    <x v="6"/>
  </r>
  <r>
    <n v="1008"/>
    <x v="3"/>
    <x v="7"/>
    <x v="2"/>
    <x v="3"/>
    <x v="3"/>
    <n v="20"/>
    <n v="1500"/>
    <x v="7"/>
  </r>
  <r>
    <n v="1009"/>
    <x v="4"/>
    <x v="8"/>
    <x v="0"/>
    <x v="0"/>
    <x v="0"/>
    <n v="3"/>
    <n v="35000"/>
    <x v="8"/>
  </r>
  <r>
    <n v="1010"/>
    <x v="4"/>
    <x v="9"/>
    <x v="1"/>
    <x v="1"/>
    <x v="1"/>
    <n v="2"/>
    <n v="600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regionsale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5">
  <location ref="G2:H7" firstHeaderRow="1" firstDataRow="1" firstDataCol="1"/>
  <pivotFields count="9">
    <pivotField showAll="0"/>
    <pivotField numFmtId="14" showAll="0"/>
    <pivotField showAll="0">
      <items count="11">
        <item x="4"/>
        <item x="6"/>
        <item x="0"/>
        <item x="1"/>
        <item x="5"/>
        <item x="7"/>
        <item x="2"/>
        <item x="8"/>
        <item x="9"/>
        <item x="3"/>
        <item t="default"/>
      </items>
    </pivotField>
    <pivotField showAll="0">
      <items count="4">
        <item x="2"/>
        <item x="0"/>
        <item x="1"/>
        <item t="default"/>
      </items>
    </pivotField>
    <pivotField axis="axisRow" showAll="0">
      <items count="5">
        <item x="2"/>
        <item x="0"/>
        <item x="1"/>
        <item x="3"/>
        <item t="default"/>
      </items>
    </pivotField>
    <pivotField showAll="0">
      <items count="5">
        <item x="0"/>
        <item x="2"/>
        <item x="3"/>
        <item x="1"/>
        <item t="default"/>
      </items>
    </pivotField>
    <pivotField showAll="0"/>
    <pivotField showAll="0"/>
    <pivotField dataField="1" showAll="0">
      <items count="10">
        <item x="7"/>
        <item x="6"/>
        <item x="4"/>
        <item x="3"/>
        <item x="2"/>
        <item x="8"/>
        <item x="5"/>
        <item x="1"/>
        <item x="0"/>
        <item t="default"/>
      </items>
    </pivotField>
  </pivotFields>
  <rowFields count="1">
    <field x="4"/>
  </rowFields>
  <rowItems count="5">
    <i>
      <x/>
    </i>
    <i>
      <x v="1"/>
    </i>
    <i>
      <x v="2"/>
    </i>
    <i>
      <x v="3"/>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ategorysale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B2:D6" firstHeaderRow="0" firstDataRow="1" firstDataCol="1"/>
  <pivotFields count="9">
    <pivotField showAll="0"/>
    <pivotField numFmtId="14" showAll="0"/>
    <pivotField showAll="0">
      <items count="11">
        <item x="4"/>
        <item x="6"/>
        <item x="0"/>
        <item x="1"/>
        <item x="5"/>
        <item x="7"/>
        <item x="2"/>
        <item x="8"/>
        <item x="9"/>
        <item x="3"/>
        <item t="default"/>
      </items>
    </pivotField>
    <pivotField axis="axisRow" showAll="0">
      <items count="4">
        <item x="2"/>
        <item x="0"/>
        <item x="1"/>
        <item t="default"/>
      </items>
    </pivotField>
    <pivotField showAll="0">
      <items count="5">
        <item x="2"/>
        <item x="0"/>
        <item x="1"/>
        <item x="3"/>
        <item t="default"/>
      </items>
    </pivotField>
    <pivotField showAll="0">
      <items count="5">
        <item x="0"/>
        <item x="2"/>
        <item x="3"/>
        <item x="1"/>
        <item t="default"/>
      </items>
    </pivotField>
    <pivotField showAll="0"/>
    <pivotField showAll="0"/>
    <pivotField dataField="1" showAll="0">
      <items count="10">
        <item x="7"/>
        <item x="6"/>
        <item x="4"/>
        <item x="3"/>
        <item x="2"/>
        <item x="8"/>
        <item x="5"/>
        <item x="1"/>
        <item x="0"/>
        <item t="default"/>
      </items>
    </pivotField>
  </pivotFields>
  <rowFields count="1">
    <field x="3"/>
  </rowFields>
  <rowItems count="4">
    <i>
      <x/>
    </i>
    <i>
      <x v="1"/>
    </i>
    <i>
      <x v="2"/>
    </i>
    <i t="grand">
      <x/>
    </i>
  </rowItems>
  <colFields count="1">
    <field x="-2"/>
  </colFields>
  <colItems count="2">
    <i>
      <x/>
    </i>
    <i i="1">
      <x v="1"/>
    </i>
  </colItems>
  <dataFields count="2">
    <dataField name="Sum of Total_Sales2" fld="8" showDataAs="percentOfTotal" baseField="0" baseItem="0" numFmtId="10"/>
    <dataField name="Sum of Total_Sales" fld="8" baseField="0" baseItem="0"/>
  </dataFields>
  <chartFormats count="1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3" count="1" selected="0">
            <x v="0"/>
          </reference>
        </references>
      </pivotArea>
    </chartFormat>
    <chartFormat chart="5" format="22">
      <pivotArea type="data" outline="0" fieldPosition="0">
        <references count="2">
          <reference field="4294967294" count="1" selected="0">
            <x v="1"/>
          </reference>
          <reference field="3" count="1" selected="0">
            <x v="1"/>
          </reference>
        </references>
      </pivotArea>
    </chartFormat>
    <chartFormat chart="5" format="23">
      <pivotArea type="data" outline="0" fieldPosition="0">
        <references count="2">
          <reference field="4294967294" count="1" selected="0">
            <x v="1"/>
          </reference>
          <reference field="3" count="1" selected="0">
            <x v="2"/>
          </reference>
        </references>
      </pivotArea>
    </chartFormat>
    <chartFormat chart="0" format="8">
      <pivotArea type="data" outline="0" fieldPosition="0">
        <references count="2">
          <reference field="4294967294" count="1" selected="0">
            <x v="0"/>
          </reference>
          <reference field="3" count="1" selected="0">
            <x v="0"/>
          </reference>
        </references>
      </pivotArea>
    </chartFormat>
    <chartFormat chart="0" format="9">
      <pivotArea type="data" outline="0" fieldPosition="0">
        <references count="2">
          <reference field="4294967294" count="1" selected="0">
            <x v="0"/>
          </reference>
          <reference field="3" count="1" selected="0">
            <x v="1"/>
          </reference>
        </references>
      </pivotArea>
    </chartFormat>
    <chartFormat chart="0" format="10">
      <pivotArea type="data" outline="0" fieldPosition="0">
        <references count="2">
          <reference field="4294967294" count="1" selected="0">
            <x v="1"/>
          </reference>
          <reference field="3" count="1" selected="0">
            <x v="0"/>
          </reference>
        </references>
      </pivotArea>
    </chartFormat>
    <chartFormat chart="0" format="11">
      <pivotArea type="data" outline="0" fieldPosition="0">
        <references count="2">
          <reference field="4294967294" count="1" selected="0">
            <x v="1"/>
          </reference>
          <reference field="3" count="1" selected="0">
            <x v="1"/>
          </reference>
        </references>
      </pivotArea>
    </chartFormat>
    <chartFormat chart="0" format="12">
      <pivotArea type="data" outline="0" fieldPosition="0">
        <references count="2">
          <reference field="4294967294" count="1" selected="0">
            <x v="0"/>
          </reference>
          <reference field="3" count="1" selected="0">
            <x v="2"/>
          </reference>
        </references>
      </pivotArea>
    </chartFormat>
    <chartFormat chart="0" format="13">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daily_sale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U2:V8" firstHeaderRow="1" firstDataRow="1" firstDataCol="1"/>
  <pivotFields count="9">
    <pivotField showAll="0"/>
    <pivotField axis="axisRow" numFmtId="14" showAll="0">
      <items count="6">
        <item x="0"/>
        <item x="1"/>
        <item x="2"/>
        <item x="3"/>
        <item x="4"/>
        <item t="default"/>
      </items>
    </pivotField>
    <pivotField showAll="0">
      <items count="11">
        <item x="4"/>
        <item x="6"/>
        <item x="0"/>
        <item x="1"/>
        <item x="5"/>
        <item x="7"/>
        <item x="2"/>
        <item x="8"/>
        <item x="9"/>
        <item x="3"/>
        <item t="default"/>
      </items>
    </pivotField>
    <pivotField showAll="0">
      <items count="4">
        <item x="2"/>
        <item x="0"/>
        <item x="1"/>
        <item t="default"/>
      </items>
    </pivotField>
    <pivotField showAll="0">
      <items count="5">
        <item x="2"/>
        <item x="0"/>
        <item x="1"/>
        <item x="3"/>
        <item t="default"/>
      </items>
    </pivotField>
    <pivotField showAll="0">
      <items count="5">
        <item x="0"/>
        <item x="2"/>
        <item x="3"/>
        <item x="1"/>
        <item t="default"/>
      </items>
    </pivotField>
    <pivotField showAll="0"/>
    <pivotField showAll="0"/>
    <pivotField dataField="1" showAll="0">
      <items count="10">
        <item x="7"/>
        <item x="6"/>
        <item x="4"/>
        <item x="3"/>
        <item x="2"/>
        <item x="8"/>
        <item x="5"/>
        <item x="1"/>
        <item x="0"/>
        <item t="default"/>
      </items>
    </pivotField>
  </pivotFields>
  <rowFields count="1">
    <field x="1"/>
  </rowFields>
  <rowItems count="6">
    <i>
      <x/>
    </i>
    <i>
      <x v="1"/>
    </i>
    <i>
      <x v="2"/>
    </i>
    <i>
      <x v="3"/>
    </i>
    <i>
      <x v="4"/>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sales_by_sales_rep"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5">
  <location ref="M2:N7" firstHeaderRow="1" firstDataRow="1" firstDataCol="1"/>
  <pivotFields count="9">
    <pivotField showAll="0"/>
    <pivotField numFmtId="14" showAll="0"/>
    <pivotField showAll="0">
      <items count="11">
        <item x="4"/>
        <item x="6"/>
        <item x="0"/>
        <item x="1"/>
        <item x="5"/>
        <item x="7"/>
        <item x="2"/>
        <item x="8"/>
        <item x="9"/>
        <item x="3"/>
        <item t="default"/>
      </items>
    </pivotField>
    <pivotField showAll="0">
      <items count="4">
        <item x="2"/>
        <item x="0"/>
        <item x="1"/>
        <item t="default"/>
      </items>
    </pivotField>
    <pivotField showAll="0">
      <items count="5">
        <item x="2"/>
        <item x="0"/>
        <item x="1"/>
        <item x="3"/>
        <item t="default"/>
      </items>
    </pivotField>
    <pivotField axis="axisRow" showAll="0">
      <items count="5">
        <item x="0"/>
        <item x="2"/>
        <item x="3"/>
        <item x="1"/>
        <item t="default"/>
      </items>
    </pivotField>
    <pivotField showAll="0"/>
    <pivotField showAll="0"/>
    <pivotField dataField="1" showAll="0">
      <items count="10">
        <item x="7"/>
        <item x="6"/>
        <item x="4"/>
        <item x="3"/>
        <item x="2"/>
        <item x="8"/>
        <item x="5"/>
        <item x="1"/>
        <item x="0"/>
        <item t="default"/>
      </items>
    </pivotField>
  </pivotFields>
  <rowFields count="1">
    <field x="5"/>
  </rowFields>
  <rowItems count="5">
    <i>
      <x/>
    </i>
    <i>
      <x v="1"/>
    </i>
    <i>
      <x v="2"/>
    </i>
    <i>
      <x v="3"/>
    </i>
    <i t="grand">
      <x/>
    </i>
  </rowItems>
  <colItems count="1">
    <i/>
  </colItems>
  <dataFields count="1">
    <dataField name="Sum of Total_Sales" fld="8"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roductsale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5">
  <location ref="Z2:AA13" firstHeaderRow="1" firstDataRow="1" firstDataCol="1"/>
  <pivotFields count="9">
    <pivotField showAll="0"/>
    <pivotField numFmtId="14" showAll="0"/>
    <pivotField axis="axisRow" showAll="0">
      <items count="11">
        <item x="4"/>
        <item x="6"/>
        <item x="0"/>
        <item x="1"/>
        <item x="5"/>
        <item x="7"/>
        <item x="2"/>
        <item x="8"/>
        <item x="9"/>
        <item x="3"/>
        <item t="default"/>
      </items>
    </pivotField>
    <pivotField showAll="0">
      <items count="4">
        <item x="2"/>
        <item x="0"/>
        <item x="1"/>
        <item t="default"/>
      </items>
    </pivotField>
    <pivotField showAll="0">
      <items count="5">
        <item x="2"/>
        <item x="0"/>
        <item x="1"/>
        <item x="3"/>
        <item t="default"/>
      </items>
    </pivotField>
    <pivotField showAll="0">
      <items count="5">
        <item x="0"/>
        <item x="2"/>
        <item x="3"/>
        <item x="1"/>
        <item t="default"/>
      </items>
    </pivotField>
    <pivotField showAll="0"/>
    <pivotField showAll="0"/>
    <pivotField dataField="1" showAll="0">
      <items count="10">
        <item x="7"/>
        <item x="6"/>
        <item x="4"/>
        <item x="3"/>
        <item x="2"/>
        <item x="8"/>
        <item x="5"/>
        <item x="1"/>
        <item x="0"/>
        <item t="default"/>
      </items>
    </pivotField>
  </pivotFields>
  <rowFields count="1">
    <field x="2"/>
  </rowFields>
  <rowItems count="11">
    <i>
      <x/>
    </i>
    <i>
      <x v="1"/>
    </i>
    <i>
      <x v="2"/>
    </i>
    <i>
      <x v="3"/>
    </i>
    <i>
      <x v="4"/>
    </i>
    <i>
      <x v="5"/>
    </i>
    <i>
      <x v="6"/>
    </i>
    <i>
      <x v="7"/>
    </i>
    <i>
      <x v="8"/>
    </i>
    <i>
      <x v="9"/>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85E771D-A3D7-475B-844D-B48CEF80EE9B}" autoFormatId="16" applyNumberFormats="0" applyBorderFormats="0" applyFontFormats="0" applyPatternFormats="0" applyAlignmentFormats="0" applyWidthHeightFormats="0">
  <queryTableRefresh nextId="11">
    <queryTableFields count="10">
      <queryTableField id="1" name="Product" tableColumnId="1"/>
      <queryTableField id="2" name="Order_ID" tableColumnId="2"/>
      <queryTableField id="3" name="Order_Date" tableColumnId="3"/>
      <queryTableField id="4" name="Category" tableColumnId="4"/>
      <queryTableField id="5" name="Region" tableColumnId="5"/>
      <queryTableField id="6" name="Sales_Rep" tableColumnId="6"/>
      <queryTableField id="7" name="Units_Sold" tableColumnId="7"/>
      <queryTableField id="8" name="Unit_Price" tableColumnId="8"/>
      <queryTableField id="9" name="Total_Sales" tableColumnId="9"/>
      <queryTableField id="10" name="day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11" name="categorysales"/>
    <pivotTable tabId="11" name="daily_sales"/>
    <pivotTable tabId="11" name="productsales"/>
    <pivotTable tabId="11" name="regionsales"/>
    <pivotTable tabId="11" name="sales_by_sales_rep"/>
  </pivotTables>
  <data>
    <tabular pivotCacheId="1">
      <items count="10">
        <i x="4" s="1"/>
        <i x="6" s="1"/>
        <i x="0" s="1"/>
        <i x="1" s="1"/>
        <i x="5" s="1"/>
        <i x="7" s="1"/>
        <i x="2" s="1"/>
        <i x="8" s="1"/>
        <i x="9"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11" name="categorysales"/>
    <pivotTable tabId="11" name="daily_sales"/>
    <pivotTable tabId="11" name="productsales"/>
    <pivotTable tabId="11" name="regionsales"/>
    <pivotTable tabId="11" name="sales_by_sales_rep"/>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1" name="categorysales"/>
    <pivotTable tabId="11" name="daily_sales"/>
    <pivotTable tabId="11" name="productsales"/>
    <pivotTable tabId="11" name="regionsales"/>
    <pivotTable tabId="11" name="sales_by_sales_rep"/>
  </pivotTables>
  <data>
    <tabular pivotCacheId="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0000000-0013-0000-FFFF-FFFF04000000}" sourceName="Sales_Rep">
  <pivotTables>
    <pivotTable tabId="11" name="categorysales"/>
    <pivotTable tabId="11" name="daily_sales"/>
    <pivotTable tabId="11" name="productsales"/>
    <pivotTable tabId="11" name="regionsales"/>
    <pivotTable tabId="11" name="sales_by_sales_rep"/>
  </pivotTables>
  <data>
    <tabular pivotCacheId="1">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00000000-0013-0000-FFFF-FFFF05000000}" sourceName="Total_Sales">
  <pivotTables>
    <pivotTable tabId="11" name="categorysales"/>
    <pivotTable tabId="11" name="daily_sales"/>
    <pivotTable tabId="11" name="productsales"/>
    <pivotTable tabId="11" name="regionsales"/>
    <pivotTable tabId="11" name="sales_by_sales_rep"/>
  </pivotTables>
  <data>
    <tabular pivotCacheId="1">
      <items count="9">
        <i x="7" s="1"/>
        <i x="6" s="1"/>
        <i x="4" s="1"/>
        <i x="3" s="1"/>
        <i x="2" s="1"/>
        <i x="8"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1000000}" cache="Slicer_Product" caption="Product" style="SlicerStyleDark6" rowHeight="241300"/>
  <slicer name="Category 1" xr10:uid="{00000000-0014-0000-FFFF-FFFF02000000}" cache="Slicer_Category" caption="Category" style="SlicerStyleDark6" rowHeight="241300"/>
  <slicer name="Region 1" xr10:uid="{00000000-0014-0000-FFFF-FFFF03000000}" cache="Slicer_Region" caption="Region" style="SlicerStyleOther1" rowHeight="241300"/>
  <slicer name="Sales_Rep 1" xr10:uid="{00000000-0014-0000-FFFF-FFFF04000000}" cache="Slicer_Sales_Rep" caption="Sales_Rep" columnCount="4"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6000000}" cache="Slicer_Product" caption="Product" startItem="2" rowHeight="241300"/>
  <slicer name="Category" xr10:uid="{00000000-0014-0000-FFFF-FFFF07000000}" cache="Slicer_Category" caption="Category" rowHeight="241300"/>
  <slicer name="Region" xr10:uid="{00000000-0014-0000-FFFF-FFFF08000000}" cache="Slicer_Region" caption="Region" rowHeight="241300"/>
  <slicer name="Sales_Rep" xr10:uid="{00000000-0014-0000-FFFF-FFFF09000000}" cache="Slicer_Sales_Rep" caption="Sales_Rep" rowHeight="241300"/>
  <slicer name="Total_Sales" xr10:uid="{00000000-0014-0000-FFFF-FFFF0A000000}" cache="Slicer_Total_Sales" caption="Total_Sale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202F79-E92E-4047-AF76-F5C6EF6A248F}" name="Table1_2" displayName="Table1_2" ref="A1:J11" tableType="queryTable" totalsRowShown="0">
  <autoFilter ref="A1:J11" xr:uid="{27202F79-E92E-4047-AF76-F5C6EF6A248F}"/>
  <tableColumns count="10">
    <tableColumn id="1" xr3:uid="{C684A300-5CF8-44D5-8EA6-26BCDAA82895}" uniqueName="1" name="Product" queryTableFieldId="1" dataDxfId="18"/>
    <tableColumn id="2" xr3:uid="{D9A40AEC-D239-40C2-BBF7-868075221021}" uniqueName="2" name="Order_ID" queryTableFieldId="2"/>
    <tableColumn id="3" xr3:uid="{57D56F23-1699-4AA1-94EC-3C013F7F8F2C}" uniqueName="3" name="Order_Date" queryTableFieldId="3" dataDxfId="17"/>
    <tableColumn id="4" xr3:uid="{2318AF25-9C27-4315-8E48-0265E3B40FAE}" uniqueName="4" name="Category" queryTableFieldId="4" dataDxfId="16"/>
    <tableColumn id="5" xr3:uid="{4399F34A-96D1-45CD-A68C-D9BBF71745BD}" uniqueName="5" name="Region" queryTableFieldId="5" dataDxfId="15"/>
    <tableColumn id="6" xr3:uid="{C0AAC4B5-DE11-4763-AA61-4C5ABEA9478D}" uniqueName="6" name="Sales_Rep" queryTableFieldId="6" dataDxfId="14"/>
    <tableColumn id="7" xr3:uid="{4A8417B3-02FD-4146-B104-0EE614EA6525}" uniqueName="7" name="Units_Sold" queryTableFieldId="7"/>
    <tableColumn id="8" xr3:uid="{E0A76C2C-C075-4302-98A1-76D1646774E4}" uniqueName="8" name="Unit_Price" queryTableFieldId="8"/>
    <tableColumn id="9" xr3:uid="{740984E9-9645-4281-9157-02D4CE74210B}" uniqueName="9" name="Total_Sales" queryTableFieldId="9"/>
    <tableColumn id="10" xr3:uid="{806919A0-B389-4937-8ACC-D9E24308A289}" uniqueName="10" name="day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FE358D-2F7F-4787-929D-EF243094DB44}" name="Table1" displayName="Table1" ref="B2:J12" totalsRowShown="0" headerRowDxfId="13" dataDxfId="11" headerRowBorderDxfId="12" tableBorderDxfId="10" totalsRowBorderDxfId="9">
  <autoFilter ref="B2:J12" xr:uid="{D7FE358D-2F7F-4787-929D-EF243094DB44}"/>
  <tableColumns count="9">
    <tableColumn id="1" xr3:uid="{35034495-F25A-458B-9E91-A3E092CF21CE}" name="Product" dataDxfId="8"/>
    <tableColumn id="2" xr3:uid="{2A11EFF4-2AE6-4E07-8B27-9985C6F93099}" name="Order_ID" dataDxfId="7"/>
    <tableColumn id="3" xr3:uid="{A07D0A61-D23B-4083-91D8-FE3DDD51EFCF}" name="Order_Date" dataDxfId="6"/>
    <tableColumn id="4" xr3:uid="{1FC28E6C-29CF-4306-9C31-45213060005E}" name="Category" dataDxfId="5"/>
    <tableColumn id="5" xr3:uid="{22ADEEDE-EFF8-48CC-8DEE-17D74A8D6C8C}" name="Region" dataDxfId="4"/>
    <tableColumn id="6" xr3:uid="{8CE1EE9F-FA7B-4C2D-9682-ADD18E703451}" name="Sales_Rep" dataDxfId="3"/>
    <tableColumn id="7" xr3:uid="{FFB4D081-D032-4EDE-9572-E3A506832C40}" name="Units_Sold" dataDxfId="2"/>
    <tableColumn id="8" xr3:uid="{07C3FA56-E4EB-4603-B1B6-E8DB5C614EFB}" name="Unit_Price" dataDxfId="1"/>
    <tableColumn id="9" xr3:uid="{84674757-92DC-41A0-9013-EA294057080C}"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24"/>
  <sheetViews>
    <sheetView showGridLines="0" showRowColHeaders="0" zoomScaleNormal="100" workbookViewId="0">
      <selection activeCell="I33" sqref="I33"/>
    </sheetView>
  </sheetViews>
  <sheetFormatPr defaultRowHeight="15" x14ac:dyDescent="0.25"/>
  <cols>
    <col min="1" max="1" width="11.140625" customWidth="1"/>
    <col min="2" max="2" width="13.42578125" customWidth="1"/>
    <col min="3" max="3" width="10" customWidth="1"/>
    <col min="4" max="4" width="11" customWidth="1"/>
    <col min="5" max="5" width="9.28515625" customWidth="1"/>
    <col min="6" max="6" width="12.140625" customWidth="1"/>
    <col min="7" max="7" width="12.7109375" customWidth="1"/>
    <col min="8" max="8" width="12.42578125" customWidth="1"/>
    <col min="9" max="9" width="13.140625" customWidth="1"/>
  </cols>
  <sheetData>
    <row r="24" spans="2:2" x14ac:dyDescent="0.25">
      <c r="B24" s="9"/>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13"/>
  <sheetViews>
    <sheetView tabSelected="1" topLeftCell="E1" zoomScaleNormal="100" workbookViewId="0">
      <selection activeCell="L6" sqref="L6"/>
    </sheetView>
  </sheetViews>
  <sheetFormatPr defaultRowHeight="15" x14ac:dyDescent="0.25"/>
  <cols>
    <col min="1" max="1" width="14.140625" customWidth="1"/>
    <col min="2" max="2" width="13.140625" bestFit="1" customWidth="1"/>
    <col min="3" max="3" width="18.85546875" bestFit="1" customWidth="1"/>
    <col min="4" max="4" width="17.85546875" bestFit="1" customWidth="1"/>
    <col min="5" max="5" width="18.42578125" bestFit="1" customWidth="1"/>
    <col min="7" max="7" width="13.140625" bestFit="1" customWidth="1"/>
    <col min="8" max="8" width="17.85546875" bestFit="1" customWidth="1"/>
    <col min="9" max="9" width="10.7109375" customWidth="1"/>
    <col min="11" max="11" width="17.140625" customWidth="1"/>
    <col min="12" max="12" width="16.42578125" customWidth="1"/>
    <col min="13" max="13" width="13.140625" bestFit="1" customWidth="1"/>
    <col min="14" max="14" width="17.85546875" bestFit="1" customWidth="1"/>
    <col min="17" max="17" width="17.7109375" customWidth="1"/>
    <col min="21" max="21" width="13.140625" bestFit="1" customWidth="1"/>
    <col min="22" max="22" width="17.85546875" bestFit="1" customWidth="1"/>
    <col min="25" max="25" width="18.28515625" customWidth="1"/>
    <col min="26" max="26" width="13.5703125" bestFit="1" customWidth="1"/>
    <col min="27" max="27" width="17.85546875" bestFit="1" customWidth="1"/>
  </cols>
  <sheetData>
    <row r="1" spans="2:27" x14ac:dyDescent="0.25">
      <c r="J1">
        <f>GETPIVOTDATA("Total_Sales",$M$2)</f>
        <v>1090500</v>
      </c>
    </row>
    <row r="2" spans="2:27" x14ac:dyDescent="0.25">
      <c r="B2" s="1" t="s">
        <v>0</v>
      </c>
      <c r="C2" t="s">
        <v>33</v>
      </c>
      <c r="D2" t="s">
        <v>32</v>
      </c>
      <c r="E2">
        <f>GETPIVOTDATA("Total_Sales",$G$2)</f>
        <v>1090500</v>
      </c>
      <c r="G2" s="1" t="s">
        <v>0</v>
      </c>
      <c r="H2" t="s">
        <v>32</v>
      </c>
      <c r="L2">
        <f>GETPIVOTDATA("Total_Sales",$M$2)</f>
        <v>1090500</v>
      </c>
      <c r="M2" s="1" t="s">
        <v>0</v>
      </c>
      <c r="N2" t="s">
        <v>32</v>
      </c>
      <c r="S2">
        <f>GETPIVOTDATA("Total_Sales",$U$2)</f>
        <v>1090500</v>
      </c>
      <c r="U2" s="1" t="s">
        <v>0</v>
      </c>
      <c r="V2" t="s">
        <v>32</v>
      </c>
      <c r="Y2">
        <f>GETPIVOTDATA("Total_Sales",$Z$2)</f>
        <v>1090500</v>
      </c>
      <c r="Z2" s="1" t="s">
        <v>0</v>
      </c>
      <c r="AA2" t="s">
        <v>32</v>
      </c>
    </row>
    <row r="3" spans="2:27" x14ac:dyDescent="0.25">
      <c r="B3" s="2" t="s">
        <v>26</v>
      </c>
      <c r="C3" s="8">
        <v>0.10591471801925723</v>
      </c>
      <c r="D3" s="3">
        <v>115500</v>
      </c>
      <c r="G3" s="2" t="s">
        <v>20</v>
      </c>
      <c r="H3" s="3">
        <v>117500</v>
      </c>
      <c r="J3" s="10" t="s">
        <v>0</v>
      </c>
      <c r="K3" s="10" t="s">
        <v>32</v>
      </c>
      <c r="M3" s="2" t="s">
        <v>14</v>
      </c>
      <c r="N3" s="3">
        <v>403000</v>
      </c>
      <c r="U3" s="7">
        <v>45658</v>
      </c>
      <c r="V3" s="3">
        <v>490000</v>
      </c>
      <c r="Z3" s="2" t="s">
        <v>25</v>
      </c>
      <c r="AA3" s="3">
        <v>48000</v>
      </c>
    </row>
    <row r="4" spans="2:27" x14ac:dyDescent="0.25">
      <c r="B4" s="2" t="s">
        <v>12</v>
      </c>
      <c r="C4" s="8">
        <v>0.65566254011921132</v>
      </c>
      <c r="D4" s="3">
        <v>715000</v>
      </c>
      <c r="G4" s="2" t="s">
        <v>13</v>
      </c>
      <c r="H4" s="3">
        <v>403000</v>
      </c>
      <c r="J4" s="2" t="s">
        <v>20</v>
      </c>
      <c r="K4" s="13">
        <f>GETPIVOTDATA("Total_Sales",$G$2,"Region",J4)*100</f>
        <v>11750000</v>
      </c>
      <c r="M4" s="2" t="s">
        <v>21</v>
      </c>
      <c r="N4" s="3">
        <v>117500</v>
      </c>
      <c r="U4" s="7">
        <v>45689</v>
      </c>
      <c r="V4" s="3">
        <v>140000</v>
      </c>
      <c r="Z4" s="2" t="s">
        <v>28</v>
      </c>
      <c r="AA4" s="3">
        <v>37500</v>
      </c>
    </row>
    <row r="5" spans="2:27" x14ac:dyDescent="0.25">
      <c r="B5" s="2" t="s">
        <v>19</v>
      </c>
      <c r="C5" s="8">
        <v>0.2384227418615314</v>
      </c>
      <c r="D5" s="3">
        <v>260000</v>
      </c>
      <c r="G5" s="2" t="s">
        <v>16</v>
      </c>
      <c r="H5" s="3">
        <v>480000</v>
      </c>
      <c r="J5" s="2" t="s">
        <v>13</v>
      </c>
      <c r="K5" s="13">
        <f t="shared" ref="K5:K7" si="0">GETPIVOTDATA("Total_Sales",$G$2,"Region",J5)*100</f>
        <v>40300000</v>
      </c>
      <c r="M5" s="2" t="s">
        <v>24</v>
      </c>
      <c r="N5" s="3">
        <v>90000</v>
      </c>
      <c r="U5" s="7">
        <v>45717</v>
      </c>
      <c r="V5" s="3">
        <v>168000</v>
      </c>
      <c r="Z5" s="2" t="s">
        <v>11</v>
      </c>
      <c r="AA5" s="3">
        <v>250000</v>
      </c>
    </row>
    <row r="6" spans="2:27" x14ac:dyDescent="0.25">
      <c r="B6" s="2" t="s">
        <v>1</v>
      </c>
      <c r="C6" s="8">
        <v>1</v>
      </c>
      <c r="D6" s="3">
        <v>1090500</v>
      </c>
      <c r="E6">
        <f>GETPIVOTDATA("Sum of Total_Sales",$B$2)</f>
        <v>1090500</v>
      </c>
      <c r="G6" s="2" t="s">
        <v>23</v>
      </c>
      <c r="H6" s="3">
        <v>90000</v>
      </c>
      <c r="J6" s="2" t="s">
        <v>16</v>
      </c>
      <c r="K6" s="13">
        <f t="shared" si="0"/>
        <v>48000000</v>
      </c>
      <c r="M6" s="2" t="s">
        <v>17</v>
      </c>
      <c r="N6" s="3">
        <v>480000</v>
      </c>
      <c r="U6" s="7">
        <v>45748</v>
      </c>
      <c r="V6" s="3">
        <v>67500</v>
      </c>
      <c r="Z6" s="2" t="s">
        <v>15</v>
      </c>
      <c r="AA6" s="3">
        <v>240000</v>
      </c>
    </row>
    <row r="7" spans="2:27" x14ac:dyDescent="0.25">
      <c r="G7" s="2" t="s">
        <v>1</v>
      </c>
      <c r="H7" s="3">
        <v>1090500</v>
      </c>
      <c r="J7" s="2" t="s">
        <v>23</v>
      </c>
      <c r="K7" s="13">
        <f t="shared" si="0"/>
        <v>9000000</v>
      </c>
      <c r="M7" s="2" t="s">
        <v>1</v>
      </c>
      <c r="N7" s="3">
        <v>1090500</v>
      </c>
      <c r="U7" s="7">
        <v>45778</v>
      </c>
      <c r="V7" s="3">
        <v>225000</v>
      </c>
      <c r="Z7" s="2" t="s">
        <v>27</v>
      </c>
      <c r="AA7" s="3">
        <v>120000</v>
      </c>
    </row>
    <row r="8" spans="2:27" x14ac:dyDescent="0.25">
      <c r="J8" s="11" t="s">
        <v>1</v>
      </c>
      <c r="K8" s="12">
        <v>1</v>
      </c>
      <c r="U8" s="7" t="s">
        <v>1</v>
      </c>
      <c r="V8" s="3">
        <v>1090500</v>
      </c>
      <c r="Z8" s="2" t="s">
        <v>29</v>
      </c>
      <c r="AA8" s="3">
        <v>30000</v>
      </c>
    </row>
    <row r="9" spans="2:27" x14ac:dyDescent="0.25">
      <c r="Z9" s="2" t="s">
        <v>18</v>
      </c>
      <c r="AA9" s="3">
        <v>80000</v>
      </c>
    </row>
    <row r="10" spans="2:27" x14ac:dyDescent="0.25">
      <c r="Z10" s="2" t="s">
        <v>30</v>
      </c>
      <c r="AA10" s="3">
        <v>105000</v>
      </c>
    </row>
    <row r="11" spans="2:27" x14ac:dyDescent="0.25">
      <c r="Z11" s="2" t="s">
        <v>31</v>
      </c>
      <c r="AA11" s="3">
        <v>120000</v>
      </c>
    </row>
    <row r="12" spans="2:27" x14ac:dyDescent="0.25">
      <c r="Z12" s="2" t="s">
        <v>22</v>
      </c>
      <c r="AA12" s="3">
        <v>60000</v>
      </c>
    </row>
    <row r="13" spans="2:27" x14ac:dyDescent="0.25">
      <c r="Z13" s="2" t="s">
        <v>1</v>
      </c>
      <c r="AA13" s="3">
        <v>1090500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155C-C5E1-42E1-9DA2-5416AE746F53}">
  <dimension ref="A1:J11"/>
  <sheetViews>
    <sheetView workbookViewId="0"/>
  </sheetViews>
  <sheetFormatPr defaultRowHeight="15" x14ac:dyDescent="0.25"/>
  <cols>
    <col min="1" max="1" width="13.5703125" bestFit="1" customWidth="1"/>
    <col min="2" max="2" width="11.28515625" bestFit="1" customWidth="1"/>
    <col min="3" max="3" width="13.5703125" bestFit="1" customWidth="1"/>
    <col min="4" max="4" width="11.28515625" bestFit="1" customWidth="1"/>
    <col min="5" max="5" width="9.42578125" bestFit="1" customWidth="1"/>
    <col min="6" max="6" width="12.28515625" bestFit="1" customWidth="1"/>
    <col min="7" max="7" width="12.85546875" bestFit="1" customWidth="1"/>
    <col min="8" max="8" width="12.5703125" bestFit="1" customWidth="1"/>
    <col min="9" max="9" width="13.28515625" bestFit="1" customWidth="1"/>
    <col min="10" max="10" width="7.28515625" bestFit="1" customWidth="1"/>
  </cols>
  <sheetData>
    <row r="1" spans="1:10" x14ac:dyDescent="0.25">
      <c r="A1" t="s">
        <v>4</v>
      </c>
      <c r="B1" t="s">
        <v>2</v>
      </c>
      <c r="C1" t="s">
        <v>3</v>
      </c>
      <c r="D1" t="s">
        <v>5</v>
      </c>
      <c r="E1" t="s">
        <v>6</v>
      </c>
      <c r="F1" t="s">
        <v>7</v>
      </c>
      <c r="G1" t="s">
        <v>8</v>
      </c>
      <c r="H1" t="s">
        <v>9</v>
      </c>
      <c r="I1" t="s">
        <v>10</v>
      </c>
      <c r="J1" t="s">
        <v>34</v>
      </c>
    </row>
    <row r="2" spans="1:10" x14ac:dyDescent="0.25">
      <c r="A2" s="3" t="s">
        <v>11</v>
      </c>
      <c r="B2">
        <v>1001</v>
      </c>
      <c r="C2" s="23">
        <v>45658</v>
      </c>
      <c r="D2" s="3" t="s">
        <v>12</v>
      </c>
      <c r="E2" s="3" t="s">
        <v>13</v>
      </c>
      <c r="F2" s="3" t="s">
        <v>14</v>
      </c>
      <c r="G2">
        <v>5</v>
      </c>
      <c r="H2">
        <v>50000</v>
      </c>
      <c r="I2">
        <v>250000</v>
      </c>
      <c r="J2">
        <v>45658</v>
      </c>
    </row>
    <row r="3" spans="1:10" x14ac:dyDescent="0.25">
      <c r="A3" s="3" t="s">
        <v>15</v>
      </c>
      <c r="B3">
        <v>1002</v>
      </c>
      <c r="C3" s="23">
        <v>45658</v>
      </c>
      <c r="D3" s="3" t="s">
        <v>12</v>
      </c>
      <c r="E3" s="3" t="s">
        <v>16</v>
      </c>
      <c r="F3" s="3" t="s">
        <v>17</v>
      </c>
      <c r="G3">
        <v>8</v>
      </c>
      <c r="H3">
        <v>30000</v>
      </c>
      <c r="I3">
        <v>240000</v>
      </c>
      <c r="J3">
        <v>45658</v>
      </c>
    </row>
    <row r="4" spans="1:10" x14ac:dyDescent="0.25">
      <c r="A4" s="3" t="s">
        <v>18</v>
      </c>
      <c r="B4">
        <v>1003</v>
      </c>
      <c r="C4" s="23">
        <v>45689</v>
      </c>
      <c r="D4" s="3" t="s">
        <v>19</v>
      </c>
      <c r="E4" s="3" t="s">
        <v>20</v>
      </c>
      <c r="F4" s="3" t="s">
        <v>21</v>
      </c>
      <c r="G4">
        <v>10</v>
      </c>
      <c r="H4">
        <v>8000</v>
      </c>
      <c r="I4">
        <v>80000</v>
      </c>
      <c r="J4">
        <v>45689</v>
      </c>
    </row>
    <row r="5" spans="1:10" x14ac:dyDescent="0.25">
      <c r="A5" s="3" t="s">
        <v>22</v>
      </c>
      <c r="B5">
        <v>1004</v>
      </c>
      <c r="C5" s="23">
        <v>45689</v>
      </c>
      <c r="D5" s="3" t="s">
        <v>19</v>
      </c>
      <c r="E5" s="3" t="s">
        <v>23</v>
      </c>
      <c r="F5" s="3" t="s">
        <v>24</v>
      </c>
      <c r="G5">
        <v>4</v>
      </c>
      <c r="H5">
        <v>15000</v>
      </c>
      <c r="I5">
        <v>60000</v>
      </c>
      <c r="J5">
        <v>45689</v>
      </c>
    </row>
    <row r="6" spans="1:10" x14ac:dyDescent="0.25">
      <c r="A6" s="3" t="s">
        <v>25</v>
      </c>
      <c r="B6">
        <v>1005</v>
      </c>
      <c r="C6" s="23">
        <v>45717</v>
      </c>
      <c r="D6" s="3" t="s">
        <v>26</v>
      </c>
      <c r="E6" s="3" t="s">
        <v>13</v>
      </c>
      <c r="F6" s="3" t="s">
        <v>14</v>
      </c>
      <c r="G6">
        <v>12</v>
      </c>
      <c r="H6">
        <v>4000</v>
      </c>
      <c r="I6">
        <v>48000</v>
      </c>
      <c r="J6">
        <v>45717</v>
      </c>
    </row>
    <row r="7" spans="1:10" x14ac:dyDescent="0.25">
      <c r="A7" s="3" t="s">
        <v>27</v>
      </c>
      <c r="B7">
        <v>1006</v>
      </c>
      <c r="C7" s="23">
        <v>45717</v>
      </c>
      <c r="D7" s="3" t="s">
        <v>12</v>
      </c>
      <c r="E7" s="3" t="s">
        <v>16</v>
      </c>
      <c r="F7" s="3" t="s">
        <v>17</v>
      </c>
      <c r="G7">
        <v>6</v>
      </c>
      <c r="H7">
        <v>20000</v>
      </c>
      <c r="I7">
        <v>120000</v>
      </c>
      <c r="J7">
        <v>45717</v>
      </c>
    </row>
    <row r="8" spans="1:10" x14ac:dyDescent="0.25">
      <c r="A8" s="3" t="s">
        <v>28</v>
      </c>
      <c r="B8">
        <v>1007</v>
      </c>
      <c r="C8" s="23">
        <v>45748</v>
      </c>
      <c r="D8" s="3" t="s">
        <v>26</v>
      </c>
      <c r="E8" s="3" t="s">
        <v>20</v>
      </c>
      <c r="F8" s="3" t="s">
        <v>21</v>
      </c>
      <c r="G8">
        <v>15</v>
      </c>
      <c r="H8">
        <v>2500</v>
      </c>
      <c r="I8">
        <v>37500</v>
      </c>
      <c r="J8">
        <v>45748</v>
      </c>
    </row>
    <row r="9" spans="1:10" x14ac:dyDescent="0.25">
      <c r="A9" s="3" t="s">
        <v>29</v>
      </c>
      <c r="B9">
        <v>1008</v>
      </c>
      <c r="C9" s="23">
        <v>45748</v>
      </c>
      <c r="D9" s="3" t="s">
        <v>26</v>
      </c>
      <c r="E9" s="3" t="s">
        <v>23</v>
      </c>
      <c r="F9" s="3" t="s">
        <v>24</v>
      </c>
      <c r="G9">
        <v>20</v>
      </c>
      <c r="H9">
        <v>1500</v>
      </c>
      <c r="I9">
        <v>30000</v>
      </c>
      <c r="J9">
        <v>45748</v>
      </c>
    </row>
    <row r="10" spans="1:10" x14ac:dyDescent="0.25">
      <c r="A10" s="3" t="s">
        <v>30</v>
      </c>
      <c r="B10">
        <v>1009</v>
      </c>
      <c r="C10" s="23">
        <v>45778</v>
      </c>
      <c r="D10" s="3" t="s">
        <v>12</v>
      </c>
      <c r="E10" s="3" t="s">
        <v>13</v>
      </c>
      <c r="F10" s="3" t="s">
        <v>14</v>
      </c>
      <c r="G10">
        <v>3</v>
      </c>
      <c r="H10">
        <v>35000</v>
      </c>
      <c r="I10">
        <v>105000</v>
      </c>
      <c r="J10">
        <v>45778</v>
      </c>
    </row>
    <row r="11" spans="1:10" x14ac:dyDescent="0.25">
      <c r="A11" s="3" t="s">
        <v>31</v>
      </c>
      <c r="B11">
        <v>1010</v>
      </c>
      <c r="C11" s="23">
        <v>45778</v>
      </c>
      <c r="D11" s="3" t="s">
        <v>19</v>
      </c>
      <c r="E11" s="3" t="s">
        <v>16</v>
      </c>
      <c r="F11" s="3" t="s">
        <v>17</v>
      </c>
      <c r="G11">
        <v>2</v>
      </c>
      <c r="H11">
        <v>60000</v>
      </c>
      <c r="I11">
        <v>120000</v>
      </c>
      <c r="J11">
        <v>45778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12"/>
  <sheetViews>
    <sheetView workbookViewId="0">
      <selection activeCell="L2" sqref="L2:T13"/>
    </sheetView>
  </sheetViews>
  <sheetFormatPr defaultRowHeight="15" x14ac:dyDescent="0.25"/>
  <cols>
    <col min="1" max="1" width="9" customWidth="1"/>
    <col min="2" max="2" width="13.5703125" customWidth="1"/>
    <col min="3" max="3" width="11.28515625" customWidth="1"/>
    <col min="4" max="4" width="13.5703125" bestFit="1" customWidth="1"/>
    <col min="5" max="5" width="11.28515625" bestFit="1" customWidth="1"/>
    <col min="6" max="6" width="9.28515625" customWidth="1"/>
    <col min="7" max="7" width="12.140625" customWidth="1"/>
    <col min="8" max="8" width="12.7109375" customWidth="1"/>
    <col min="9" max="9" width="12.42578125" customWidth="1"/>
    <col min="10" max="10" width="13.140625" customWidth="1"/>
    <col min="11" max="11" width="11.28515625" bestFit="1" customWidth="1"/>
    <col min="12" max="12" width="13.5703125" bestFit="1" customWidth="1"/>
    <col min="13" max="13" width="11.28515625" bestFit="1" customWidth="1"/>
    <col min="14" max="14" width="13.5703125" customWidth="1"/>
    <col min="15" max="15" width="10" bestFit="1" customWidth="1"/>
    <col min="16" max="16" width="10.5703125" bestFit="1" customWidth="1"/>
    <col min="17" max="17" width="10.28515625" bestFit="1" customWidth="1"/>
    <col min="18" max="18" width="11" bestFit="1" customWidth="1"/>
  </cols>
  <sheetData>
    <row r="2" spans="2:10" x14ac:dyDescent="0.25">
      <c r="B2" s="16" t="s">
        <v>4</v>
      </c>
      <c r="C2" s="17" t="s">
        <v>2</v>
      </c>
      <c r="D2" s="17" t="s">
        <v>3</v>
      </c>
      <c r="E2" s="17" t="s">
        <v>5</v>
      </c>
      <c r="F2" s="17" t="s">
        <v>6</v>
      </c>
      <c r="G2" s="17" t="s">
        <v>7</v>
      </c>
      <c r="H2" s="17" t="s">
        <v>8</v>
      </c>
      <c r="I2" s="17" t="s">
        <v>9</v>
      </c>
      <c r="J2" s="18" t="s">
        <v>10</v>
      </c>
    </row>
    <row r="3" spans="2:10" x14ac:dyDescent="0.25">
      <c r="B3" s="14" t="s">
        <v>11</v>
      </c>
      <c r="C3" s="5">
        <v>1001</v>
      </c>
      <c r="D3" s="6">
        <v>45658</v>
      </c>
      <c r="E3" s="5" t="s">
        <v>12</v>
      </c>
      <c r="F3" s="5" t="s">
        <v>13</v>
      </c>
      <c r="G3" s="5" t="s">
        <v>14</v>
      </c>
      <c r="H3" s="5">
        <v>5</v>
      </c>
      <c r="I3" s="5">
        <v>50000</v>
      </c>
      <c r="J3" s="15">
        <v>250000</v>
      </c>
    </row>
    <row r="4" spans="2:10" x14ac:dyDescent="0.25">
      <c r="B4" s="14" t="s">
        <v>15</v>
      </c>
      <c r="C4" s="5">
        <v>1002</v>
      </c>
      <c r="D4" s="6">
        <v>45658</v>
      </c>
      <c r="E4" s="5" t="s">
        <v>12</v>
      </c>
      <c r="F4" s="5" t="s">
        <v>16</v>
      </c>
      <c r="G4" s="5" t="s">
        <v>17</v>
      </c>
      <c r="H4" s="5">
        <v>8</v>
      </c>
      <c r="I4" s="5">
        <v>30000</v>
      </c>
      <c r="J4" s="15">
        <v>240000</v>
      </c>
    </row>
    <row r="5" spans="2:10" x14ac:dyDescent="0.25">
      <c r="B5" s="14" t="s">
        <v>18</v>
      </c>
      <c r="C5" s="5">
        <v>1003</v>
      </c>
      <c r="D5" s="6">
        <v>45689</v>
      </c>
      <c r="E5" s="5" t="s">
        <v>19</v>
      </c>
      <c r="F5" s="5" t="s">
        <v>20</v>
      </c>
      <c r="G5" s="5" t="s">
        <v>21</v>
      </c>
      <c r="H5" s="5">
        <v>10</v>
      </c>
      <c r="I5" s="5">
        <v>8000</v>
      </c>
      <c r="J5" s="15">
        <v>80000</v>
      </c>
    </row>
    <row r="6" spans="2:10" x14ac:dyDescent="0.25">
      <c r="B6" s="14" t="s">
        <v>22</v>
      </c>
      <c r="C6" s="5">
        <v>1004</v>
      </c>
      <c r="D6" s="6">
        <v>45689</v>
      </c>
      <c r="E6" s="5" t="s">
        <v>19</v>
      </c>
      <c r="F6" s="5" t="s">
        <v>23</v>
      </c>
      <c r="G6" s="5" t="s">
        <v>24</v>
      </c>
      <c r="H6" s="5">
        <v>4</v>
      </c>
      <c r="I6" s="5">
        <v>15000</v>
      </c>
      <c r="J6" s="15">
        <v>60000</v>
      </c>
    </row>
    <row r="7" spans="2:10" x14ac:dyDescent="0.25">
      <c r="B7" s="14" t="s">
        <v>25</v>
      </c>
      <c r="C7" s="5">
        <v>1005</v>
      </c>
      <c r="D7" s="6">
        <v>45717</v>
      </c>
      <c r="E7" s="5" t="s">
        <v>26</v>
      </c>
      <c r="F7" s="5" t="s">
        <v>13</v>
      </c>
      <c r="G7" s="5" t="s">
        <v>14</v>
      </c>
      <c r="H7" s="5">
        <v>12</v>
      </c>
      <c r="I7" s="5">
        <v>4000</v>
      </c>
      <c r="J7" s="15">
        <v>48000</v>
      </c>
    </row>
    <row r="8" spans="2:10" x14ac:dyDescent="0.25">
      <c r="B8" s="14" t="s">
        <v>27</v>
      </c>
      <c r="C8" s="5">
        <v>1006</v>
      </c>
      <c r="D8" s="6">
        <v>45717</v>
      </c>
      <c r="E8" s="5" t="s">
        <v>12</v>
      </c>
      <c r="F8" s="5" t="s">
        <v>16</v>
      </c>
      <c r="G8" s="5" t="s">
        <v>17</v>
      </c>
      <c r="H8" s="5">
        <v>6</v>
      </c>
      <c r="I8" s="5">
        <v>20000</v>
      </c>
      <c r="J8" s="15">
        <v>120000</v>
      </c>
    </row>
    <row r="9" spans="2:10" x14ac:dyDescent="0.25">
      <c r="B9" s="14" t="s">
        <v>28</v>
      </c>
      <c r="C9" s="5">
        <v>1007</v>
      </c>
      <c r="D9" s="6">
        <v>45748</v>
      </c>
      <c r="E9" s="5" t="s">
        <v>26</v>
      </c>
      <c r="F9" s="5" t="s">
        <v>20</v>
      </c>
      <c r="G9" s="5" t="s">
        <v>21</v>
      </c>
      <c r="H9" s="5">
        <v>15</v>
      </c>
      <c r="I9" s="5">
        <v>2500</v>
      </c>
      <c r="J9" s="15">
        <v>37500</v>
      </c>
    </row>
    <row r="10" spans="2:10" x14ac:dyDescent="0.25">
      <c r="B10" s="14" t="s">
        <v>29</v>
      </c>
      <c r="C10" s="5">
        <v>1008</v>
      </c>
      <c r="D10" s="6">
        <v>45748</v>
      </c>
      <c r="E10" s="5" t="s">
        <v>26</v>
      </c>
      <c r="F10" s="5" t="s">
        <v>23</v>
      </c>
      <c r="G10" s="5" t="s">
        <v>24</v>
      </c>
      <c r="H10" s="5">
        <v>20</v>
      </c>
      <c r="I10" s="5">
        <v>1500</v>
      </c>
      <c r="J10" s="15">
        <v>30000</v>
      </c>
    </row>
    <row r="11" spans="2:10" x14ac:dyDescent="0.25">
      <c r="B11" s="14" t="s">
        <v>30</v>
      </c>
      <c r="C11" s="5">
        <v>1009</v>
      </c>
      <c r="D11" s="6">
        <v>45778</v>
      </c>
      <c r="E11" s="5" t="s">
        <v>12</v>
      </c>
      <c r="F11" s="5" t="s">
        <v>13</v>
      </c>
      <c r="G11" s="5" t="s">
        <v>14</v>
      </c>
      <c r="H11" s="5">
        <v>3</v>
      </c>
      <c r="I11" s="5">
        <v>35000</v>
      </c>
      <c r="J11" s="15">
        <v>105000</v>
      </c>
    </row>
    <row r="12" spans="2:10" x14ac:dyDescent="0.25">
      <c r="B12" s="19" t="s">
        <v>31</v>
      </c>
      <c r="C12" s="20">
        <v>1010</v>
      </c>
      <c r="D12" s="21">
        <v>45778</v>
      </c>
      <c r="E12" s="20" t="s">
        <v>19</v>
      </c>
      <c r="F12" s="20" t="s">
        <v>16</v>
      </c>
      <c r="G12" s="20" t="s">
        <v>17</v>
      </c>
      <c r="H12" s="20">
        <v>2</v>
      </c>
      <c r="I12" s="20">
        <v>60000</v>
      </c>
      <c r="J12" s="22">
        <v>120000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12"/>
  <sheetViews>
    <sheetView workbookViewId="0">
      <selection activeCell="M17" sqref="M17"/>
    </sheetView>
  </sheetViews>
  <sheetFormatPr defaultRowHeight="15" x14ac:dyDescent="0.25"/>
  <cols>
    <col min="1" max="1" width="9" customWidth="1"/>
    <col min="2" max="2" width="13.5703125" customWidth="1"/>
    <col min="3" max="3" width="11.28515625" customWidth="1"/>
    <col min="4" max="4" width="13.5703125" bestFit="1" customWidth="1"/>
    <col min="5" max="5" width="11.28515625" bestFit="1" customWidth="1"/>
    <col min="6" max="6" width="7.140625" customWidth="1"/>
    <col min="7" max="7" width="10" customWidth="1"/>
    <col min="8" max="8" width="10.5703125" bestFit="1" customWidth="1"/>
    <col min="9" max="9" width="10.28515625" customWidth="1"/>
    <col min="10" max="10" width="11" customWidth="1"/>
    <col min="11" max="11" width="11.28515625" bestFit="1" customWidth="1"/>
    <col min="12" max="12" width="13.5703125" bestFit="1" customWidth="1"/>
    <col min="13" max="13" width="11.28515625" bestFit="1" customWidth="1"/>
    <col min="14" max="14" width="13.5703125" customWidth="1"/>
    <col min="15" max="15" width="10" bestFit="1" customWidth="1"/>
    <col min="16" max="16" width="10.5703125" bestFit="1" customWidth="1"/>
    <col min="17" max="17" width="10.28515625" bestFit="1" customWidth="1"/>
    <col min="18" max="18" width="11" bestFit="1" customWidth="1"/>
  </cols>
  <sheetData>
    <row r="2" spans="2:10" x14ac:dyDescent="0.25">
      <c r="B2" s="4" t="s">
        <v>4</v>
      </c>
      <c r="C2" s="4" t="s">
        <v>2</v>
      </c>
      <c r="D2" s="4" t="s">
        <v>3</v>
      </c>
      <c r="E2" s="4" t="s">
        <v>5</v>
      </c>
      <c r="F2" s="4" t="s">
        <v>6</v>
      </c>
      <c r="G2" s="4" t="s">
        <v>7</v>
      </c>
      <c r="H2" s="4" t="s">
        <v>8</v>
      </c>
      <c r="I2" s="4" t="s">
        <v>9</v>
      </c>
      <c r="J2" s="4" t="s">
        <v>10</v>
      </c>
    </row>
    <row r="3" spans="2:10" x14ac:dyDescent="0.25">
      <c r="B3" s="5" t="s">
        <v>11</v>
      </c>
      <c r="C3" s="5">
        <v>1001</v>
      </c>
      <c r="D3" s="6">
        <v>45658</v>
      </c>
      <c r="E3" s="5" t="s">
        <v>12</v>
      </c>
      <c r="F3" s="5" t="s">
        <v>13</v>
      </c>
      <c r="G3" s="5" t="s">
        <v>14</v>
      </c>
      <c r="H3" s="5">
        <v>5</v>
      </c>
      <c r="I3" s="5">
        <v>50000</v>
      </c>
      <c r="J3" s="5">
        <v>250000</v>
      </c>
    </row>
    <row r="4" spans="2:10" x14ac:dyDescent="0.25">
      <c r="B4" s="5" t="s">
        <v>15</v>
      </c>
      <c r="C4" s="5">
        <v>1002</v>
      </c>
      <c r="D4" s="6">
        <v>45658</v>
      </c>
      <c r="E4" s="5" t="s">
        <v>12</v>
      </c>
      <c r="F4" s="5" t="s">
        <v>16</v>
      </c>
      <c r="G4" s="5" t="s">
        <v>17</v>
      </c>
      <c r="H4" s="5">
        <v>8</v>
      </c>
      <c r="I4" s="5">
        <v>30000</v>
      </c>
      <c r="J4" s="5">
        <v>240000</v>
      </c>
    </row>
    <row r="5" spans="2:10" x14ac:dyDescent="0.25">
      <c r="B5" s="5" t="s">
        <v>18</v>
      </c>
      <c r="C5" s="5">
        <v>1003</v>
      </c>
      <c r="D5" s="6">
        <v>45689</v>
      </c>
      <c r="E5" s="5" t="s">
        <v>19</v>
      </c>
      <c r="F5" s="5" t="s">
        <v>20</v>
      </c>
      <c r="G5" s="5" t="s">
        <v>21</v>
      </c>
      <c r="H5" s="5">
        <v>10</v>
      </c>
      <c r="I5" s="5">
        <v>8000</v>
      </c>
      <c r="J5" s="5">
        <v>80000</v>
      </c>
    </row>
    <row r="6" spans="2:10" x14ac:dyDescent="0.25">
      <c r="B6" s="5" t="s">
        <v>22</v>
      </c>
      <c r="C6" s="5">
        <v>1004</v>
      </c>
      <c r="D6" s="6">
        <v>45689</v>
      </c>
      <c r="E6" s="5" t="s">
        <v>19</v>
      </c>
      <c r="F6" s="5" t="s">
        <v>23</v>
      </c>
      <c r="G6" s="5" t="s">
        <v>24</v>
      </c>
      <c r="H6" s="5">
        <v>4</v>
      </c>
      <c r="I6" s="5">
        <v>15000</v>
      </c>
      <c r="J6" s="5">
        <v>60000</v>
      </c>
    </row>
    <row r="7" spans="2:10" x14ac:dyDescent="0.25">
      <c r="B7" s="5" t="s">
        <v>25</v>
      </c>
      <c r="C7" s="5">
        <v>1005</v>
      </c>
      <c r="D7" s="6">
        <v>45717</v>
      </c>
      <c r="E7" s="5" t="s">
        <v>26</v>
      </c>
      <c r="F7" s="5" t="s">
        <v>13</v>
      </c>
      <c r="G7" s="5" t="s">
        <v>14</v>
      </c>
      <c r="H7" s="5">
        <v>12</v>
      </c>
      <c r="I7" s="5">
        <v>4000</v>
      </c>
      <c r="J7" s="5">
        <v>48000</v>
      </c>
    </row>
    <row r="8" spans="2:10" x14ac:dyDescent="0.25">
      <c r="B8" s="5" t="s">
        <v>27</v>
      </c>
      <c r="C8" s="5">
        <v>1006</v>
      </c>
      <c r="D8" s="6">
        <v>45717</v>
      </c>
      <c r="E8" s="5" t="s">
        <v>12</v>
      </c>
      <c r="F8" s="5" t="s">
        <v>16</v>
      </c>
      <c r="G8" s="5" t="s">
        <v>17</v>
      </c>
      <c r="H8" s="5">
        <v>6</v>
      </c>
      <c r="I8" s="5">
        <v>20000</v>
      </c>
      <c r="J8" s="5">
        <v>120000</v>
      </c>
    </row>
    <row r="9" spans="2:10" x14ac:dyDescent="0.25">
      <c r="B9" s="5" t="s">
        <v>28</v>
      </c>
      <c r="C9" s="5">
        <v>1007</v>
      </c>
      <c r="D9" s="6">
        <v>45748</v>
      </c>
      <c r="E9" s="5" t="s">
        <v>26</v>
      </c>
      <c r="F9" s="5" t="s">
        <v>20</v>
      </c>
      <c r="G9" s="5" t="s">
        <v>21</v>
      </c>
      <c r="H9" s="5">
        <v>15</v>
      </c>
      <c r="I9" s="5">
        <v>2500</v>
      </c>
      <c r="J9" s="5">
        <v>37500</v>
      </c>
    </row>
    <row r="10" spans="2:10" x14ac:dyDescent="0.25">
      <c r="B10" s="5" t="s">
        <v>29</v>
      </c>
      <c r="C10" s="5">
        <v>1008</v>
      </c>
      <c r="D10" s="6">
        <v>45748</v>
      </c>
      <c r="E10" s="5" t="s">
        <v>26</v>
      </c>
      <c r="F10" s="5" t="s">
        <v>23</v>
      </c>
      <c r="G10" s="5" t="s">
        <v>24</v>
      </c>
      <c r="H10" s="5">
        <v>20</v>
      </c>
      <c r="I10" s="5">
        <v>1500</v>
      </c>
      <c r="J10" s="5">
        <v>30000</v>
      </c>
    </row>
    <row r="11" spans="2:10" x14ac:dyDescent="0.25">
      <c r="B11" s="5" t="s">
        <v>30</v>
      </c>
      <c r="C11" s="5">
        <v>1009</v>
      </c>
      <c r="D11" s="6">
        <v>45778</v>
      </c>
      <c r="E11" s="5" t="s">
        <v>12</v>
      </c>
      <c r="F11" s="5" t="s">
        <v>13</v>
      </c>
      <c r="G11" s="5" t="s">
        <v>14</v>
      </c>
      <c r="H11" s="5">
        <v>3</v>
      </c>
      <c r="I11" s="5">
        <v>35000</v>
      </c>
      <c r="J11" s="5">
        <v>105000</v>
      </c>
    </row>
    <row r="12" spans="2:10" x14ac:dyDescent="0.25">
      <c r="B12" s="5" t="s">
        <v>31</v>
      </c>
      <c r="C12" s="5">
        <v>1010</v>
      </c>
      <c r="D12" s="6">
        <v>45778</v>
      </c>
      <c r="E12" s="5" t="s">
        <v>19</v>
      </c>
      <c r="F12" s="5" t="s">
        <v>16</v>
      </c>
      <c r="G12" s="5" t="s">
        <v>17</v>
      </c>
      <c r="H12" s="5">
        <v>2</v>
      </c>
      <c r="I12" s="5">
        <v>60000</v>
      </c>
      <c r="J12" s="5">
        <v>120000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111830-0D0A-4B7C-90FD-E2F590731C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Sheet10</vt:lpstr>
      <vt:lpstr>Table1</vt:lpstr>
      <vt:lpstr>Sheet8 (2)</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ankittiwari33868@gmail.com</cp:lastModifiedBy>
  <cp:lastPrinted>2026-02-21T08:00:07Z</cp:lastPrinted>
  <dcterms:created xsi:type="dcterms:W3CDTF">2025-12-24T06:49:09Z</dcterms:created>
  <dcterms:modified xsi:type="dcterms:W3CDTF">2026-02-23T08:57:38Z</dcterms:modified>
</cp:coreProperties>
</file>